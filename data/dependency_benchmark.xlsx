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Products" sheetId="2" state="visible" r:id="rId4"/>
    <sheet name="Regions" sheetId="3" state="visible" r:id="rId5"/>
    <sheet name="Customers" sheetId="4" state="visible" r:id="rId6"/>
    <sheet name="Sales" sheetId="5" state="visible" r:id="rId7"/>
    <sheet name="Summary" sheetId="6" state="visible" r:id="rId8"/>
  </sheets>
  <definedNames>
    <definedName function="false" hidden="false" name="ProductMargins" vbProcedure="false">Products!$F$2:$F$41</definedName>
    <definedName function="false" hidden="false" name="TaxRateTable" vbProcedure="false">Regions!$C$2:$C$9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<sst xmlns="http://schemas.openxmlformats.org/spreadsheetml/2006/main" count="1891" uniqueCount="749">
  <si>
    <t xml:space="preserve">Workbook Index</t>
  </si>
  <si>
    <t xml:space="preserve">Sheet</t>
  </si>
  <si>
    <t xml:space="preserve">Rows</t>
  </si>
  <si>
    <t xml:space="preserve">Description</t>
  </si>
  <si>
    <t xml:space="preserve">Depends on</t>
  </si>
  <si>
    <t xml:space="preserve">Products</t>
  </si>
  <si>
    <t xml:space="preserve">Product catalog: cost, price, margin</t>
  </si>
  <si>
    <t xml:space="preserve">(none -- source table)</t>
  </si>
  <si>
    <t xml:space="preserve">Regions</t>
  </si>
  <si>
    <t xml:space="preserve">Regional tax/discount rules</t>
  </si>
  <si>
    <t xml:space="preserve">Customers</t>
  </si>
  <si>
    <t xml:space="preserve">Customer master data, one region each</t>
  </si>
  <si>
    <t xml:space="preserve">Regions (RegionID)</t>
  </si>
  <si>
    <t xml:space="preserve">Sales</t>
  </si>
  <si>
    <t xml:space="preserve">Transactions: full pricing/tax/discount chain</t>
  </si>
  <si>
    <t xml:space="preserve">Products, Customers, Regions</t>
  </si>
  <si>
    <t xml:space="preserve">Summary</t>
  </si>
  <si>
    <t xml:space="preserve">-</t>
  </si>
  <si>
    <t xml:space="preserve">Rollups by category/region + one INDIRECT example</t>
  </si>
  <si>
    <t xml:space="preserve">Sales, Products, Regions</t>
  </si>
  <si>
    <t xml:space="preserve">ProductID</t>
  </si>
  <si>
    <t xml:space="preserve">ProductName</t>
  </si>
  <si>
    <t xml:space="preserve">Category</t>
  </si>
  <si>
    <t xml:space="preserve">UnitCost</t>
  </si>
  <si>
    <t xml:space="preserve">UnitPrice</t>
  </si>
  <si>
    <t xml:space="preserve">Margin</t>
  </si>
  <si>
    <t xml:space="preserve">P001</t>
  </si>
  <si>
    <t xml:space="preserve">Pro Blender</t>
  </si>
  <si>
    <t xml:space="preserve">Office Supplies</t>
  </si>
  <si>
    <t xml:space="preserve">P002</t>
  </si>
  <si>
    <t xml:space="preserve">Pro Mug</t>
  </si>
  <si>
    <t xml:space="preserve">Apparel</t>
  </si>
  <si>
    <t xml:space="preserve">P003</t>
  </si>
  <si>
    <t xml:space="preserve">Compact Monitor</t>
  </si>
  <si>
    <t xml:space="preserve">Home &amp; Kitchen</t>
  </si>
  <si>
    <t xml:space="preserve">P004</t>
  </si>
  <si>
    <t xml:space="preserve">Basic Keyboard</t>
  </si>
  <si>
    <t xml:space="preserve">P005</t>
  </si>
  <si>
    <t xml:space="preserve">Deluxe Headphones</t>
  </si>
  <si>
    <t xml:space="preserve">Electronics</t>
  </si>
  <si>
    <t xml:space="preserve">P006</t>
  </si>
  <si>
    <t xml:space="preserve">Smart Speaker</t>
  </si>
  <si>
    <t xml:space="preserve">P007</t>
  </si>
  <si>
    <t xml:space="preserve">Portable Monitor</t>
  </si>
  <si>
    <t xml:space="preserve">P008</t>
  </si>
  <si>
    <t xml:space="preserve">Portable Tent</t>
  </si>
  <si>
    <t xml:space="preserve">P009</t>
  </si>
  <si>
    <t xml:space="preserve">Pro Lantern</t>
  </si>
  <si>
    <t xml:space="preserve">Outdoor</t>
  </si>
  <si>
    <t xml:space="preserve">P010</t>
  </si>
  <si>
    <t xml:space="preserve">P011</t>
  </si>
  <si>
    <t xml:space="preserve">Basic Headphones</t>
  </si>
  <si>
    <t xml:space="preserve">P012</t>
  </si>
  <si>
    <t xml:space="preserve">Pro Jacket</t>
  </si>
  <si>
    <t xml:space="preserve">P013</t>
  </si>
  <si>
    <t xml:space="preserve">Ultra Speaker</t>
  </si>
  <si>
    <t xml:space="preserve">P014</t>
  </si>
  <si>
    <t xml:space="preserve">Pro Tent</t>
  </si>
  <si>
    <t xml:space="preserve">P015</t>
  </si>
  <si>
    <t xml:space="preserve">Classic Jacket</t>
  </si>
  <si>
    <t xml:space="preserve">P016</t>
  </si>
  <si>
    <t xml:space="preserve">Basic Mug</t>
  </si>
  <si>
    <t xml:space="preserve">P017</t>
  </si>
  <si>
    <t xml:space="preserve">Basic Router</t>
  </si>
  <si>
    <t xml:space="preserve">P018</t>
  </si>
  <si>
    <t xml:space="preserve">Pro Backpack</t>
  </si>
  <si>
    <t xml:space="preserve">P019</t>
  </si>
  <si>
    <t xml:space="preserve">P020</t>
  </si>
  <si>
    <t xml:space="preserve">Deluxe Keyboard</t>
  </si>
  <si>
    <t xml:space="preserve">P021</t>
  </si>
  <si>
    <t xml:space="preserve">Portable Backpack</t>
  </si>
  <si>
    <t xml:space="preserve">P022</t>
  </si>
  <si>
    <t xml:space="preserve">Compact Router</t>
  </si>
  <si>
    <t xml:space="preserve">P023</t>
  </si>
  <si>
    <t xml:space="preserve">Smart Tent</t>
  </si>
  <si>
    <t xml:space="preserve">P024</t>
  </si>
  <si>
    <t xml:space="preserve">Classic Charger</t>
  </si>
  <si>
    <t xml:space="preserve">P025</t>
  </si>
  <si>
    <t xml:space="preserve">Compact Mug</t>
  </si>
  <si>
    <t xml:space="preserve">P026</t>
  </si>
  <si>
    <t xml:space="preserve">P027</t>
  </si>
  <si>
    <t xml:space="preserve">Classic Blender</t>
  </si>
  <si>
    <t xml:space="preserve">P028</t>
  </si>
  <si>
    <t xml:space="preserve">Pro Router</t>
  </si>
  <si>
    <t xml:space="preserve">P029</t>
  </si>
  <si>
    <t xml:space="preserve">Basic Desk Lamp</t>
  </si>
  <si>
    <t xml:space="preserve">P030</t>
  </si>
  <si>
    <t xml:space="preserve">Compact Tent</t>
  </si>
  <si>
    <t xml:space="preserve">P031</t>
  </si>
  <si>
    <t xml:space="preserve">Portable Lantern</t>
  </si>
  <si>
    <t xml:space="preserve">P032</t>
  </si>
  <si>
    <t xml:space="preserve">Pro Monitor</t>
  </si>
  <si>
    <t xml:space="preserve">P033</t>
  </si>
  <si>
    <t xml:space="preserve">Ultra Desk Lamp</t>
  </si>
  <si>
    <t xml:space="preserve">P034</t>
  </si>
  <si>
    <t xml:space="preserve">Smart Backpack</t>
  </si>
  <si>
    <t xml:space="preserve">P035</t>
  </si>
  <si>
    <t xml:space="preserve">Deluxe Jacket</t>
  </si>
  <si>
    <t xml:space="preserve">P036</t>
  </si>
  <si>
    <t xml:space="preserve">P037</t>
  </si>
  <si>
    <t xml:space="preserve">Basic Tent</t>
  </si>
  <si>
    <t xml:space="preserve">P038</t>
  </si>
  <si>
    <t xml:space="preserve">Compact Backpack</t>
  </si>
  <si>
    <t xml:space="preserve">P039</t>
  </si>
  <si>
    <t xml:space="preserve">Pro Charger</t>
  </si>
  <si>
    <t xml:space="preserve">P040</t>
  </si>
  <si>
    <t xml:space="preserve">Ultra Keyboard</t>
  </si>
  <si>
    <t xml:space="preserve">RegionID</t>
  </si>
  <si>
    <t xml:space="preserve">RegionName</t>
  </si>
  <si>
    <t xml:space="preserve">TaxRate</t>
  </si>
  <si>
    <t xml:space="preserve">DiscountRate</t>
  </si>
  <si>
    <t xml:space="preserve">DiscountThreshold</t>
  </si>
  <si>
    <t xml:space="preserve">R01</t>
  </si>
  <si>
    <t xml:space="preserve">Northeast</t>
  </si>
  <si>
    <t xml:space="preserve">R02</t>
  </si>
  <si>
    <t xml:space="preserve">Southeast</t>
  </si>
  <si>
    <t xml:space="preserve">R03</t>
  </si>
  <si>
    <t xml:space="preserve">Midwest</t>
  </si>
  <si>
    <t xml:space="preserve">R04</t>
  </si>
  <si>
    <t xml:space="preserve">Southwest</t>
  </si>
  <si>
    <t xml:space="preserve">R05</t>
  </si>
  <si>
    <t xml:space="preserve">Pacific</t>
  </si>
  <si>
    <t xml:space="preserve">R06</t>
  </si>
  <si>
    <t xml:space="preserve">Mountain</t>
  </si>
  <si>
    <t xml:space="preserve">R07</t>
  </si>
  <si>
    <t xml:space="preserve">Atlantic Canada</t>
  </si>
  <si>
    <t xml:space="preserve">R08</t>
  </si>
  <si>
    <t xml:space="preserve">Prairies</t>
  </si>
  <si>
    <t xml:space="preserve">CustomerID</t>
  </si>
  <si>
    <t xml:space="preserve">CustomerName</t>
  </si>
  <si>
    <t xml:space="preserve">Segment</t>
  </si>
  <si>
    <t xml:space="preserve">CreditLimit</t>
  </si>
  <si>
    <t xml:space="preserve">C0001</t>
  </si>
  <si>
    <t xml:space="preserve">Ironwood Distribution</t>
  </si>
  <si>
    <t xml:space="preserve">Retail</t>
  </si>
  <si>
    <t xml:space="preserve">C0002</t>
  </si>
  <si>
    <t xml:space="preserve">Golden Gate Holdings</t>
  </si>
  <si>
    <t xml:space="preserve">Wholesale</t>
  </si>
  <si>
    <t xml:space="preserve">C0003</t>
  </si>
  <si>
    <t xml:space="preserve">Summit Traders</t>
  </si>
  <si>
    <t xml:space="preserve">C0004</t>
  </si>
  <si>
    <t xml:space="preserve">Redwood Supply Co.</t>
  </si>
  <si>
    <t xml:space="preserve">C0005</t>
  </si>
  <si>
    <t xml:space="preserve">Ironwood Logistics</t>
  </si>
  <si>
    <t xml:space="preserve">C0006</t>
  </si>
  <si>
    <t xml:space="preserve">Cedar Grove Supply Co.</t>
  </si>
  <si>
    <t xml:space="preserve">Online</t>
  </si>
  <si>
    <t xml:space="preserve">C0007</t>
  </si>
  <si>
    <t xml:space="preserve">Maple Leaf Market</t>
  </si>
  <si>
    <t xml:space="preserve">C0008</t>
  </si>
  <si>
    <t xml:space="preserve">Cedar Grove Logistics</t>
  </si>
  <si>
    <t xml:space="preserve">C0009</t>
  </si>
  <si>
    <t xml:space="preserve">Golden Gate Traders</t>
  </si>
  <si>
    <t xml:space="preserve">C0010</t>
  </si>
  <si>
    <t xml:space="preserve">Golden Gate Partners</t>
  </si>
  <si>
    <t xml:space="preserve">C0011</t>
  </si>
  <si>
    <t xml:space="preserve">Summit Market</t>
  </si>
  <si>
    <t xml:space="preserve">C0012</t>
  </si>
  <si>
    <t xml:space="preserve">Cedar Grove Traders</t>
  </si>
  <si>
    <t xml:space="preserve">C0013</t>
  </si>
  <si>
    <t xml:space="preserve">Northwind Goods</t>
  </si>
  <si>
    <t xml:space="preserve">C0014</t>
  </si>
  <si>
    <t xml:space="preserve">Bright Path Logistics</t>
  </si>
  <si>
    <t xml:space="preserve">C0015</t>
  </si>
  <si>
    <t xml:space="preserve">Silverline Supply Co.</t>
  </si>
  <si>
    <t xml:space="preserve">C0016</t>
  </si>
  <si>
    <t xml:space="preserve">Golden Gate Supply Co.</t>
  </si>
  <si>
    <t xml:space="preserve">C0017</t>
  </si>
  <si>
    <t xml:space="preserve">Stonebridge Supply Co.</t>
  </si>
  <si>
    <t xml:space="preserve">C0018</t>
  </si>
  <si>
    <t xml:space="preserve">Bright Path Holdings</t>
  </si>
  <si>
    <t xml:space="preserve">C0019</t>
  </si>
  <si>
    <t xml:space="preserve">Redwood Retail Group</t>
  </si>
  <si>
    <t xml:space="preserve">C0020</t>
  </si>
  <si>
    <t xml:space="preserve">Maple Leaf Partners</t>
  </si>
  <si>
    <t xml:space="preserve">C0021</t>
  </si>
  <si>
    <t xml:space="preserve">Blue Ridge Traders</t>
  </si>
  <si>
    <t xml:space="preserve">C0022</t>
  </si>
  <si>
    <t xml:space="preserve">Blue Ridge Supply Co.</t>
  </si>
  <si>
    <t xml:space="preserve">C0023</t>
  </si>
  <si>
    <t xml:space="preserve">C0024</t>
  </si>
  <si>
    <t xml:space="preserve">Ironwood Market</t>
  </si>
  <si>
    <t xml:space="preserve">C0025</t>
  </si>
  <si>
    <t xml:space="preserve">C0026</t>
  </si>
  <si>
    <t xml:space="preserve">Harborview Supply Co.</t>
  </si>
  <si>
    <t xml:space="preserve">C0027</t>
  </si>
  <si>
    <t xml:space="preserve">Blue Ridge Market</t>
  </si>
  <si>
    <t xml:space="preserve">C0028</t>
  </si>
  <si>
    <t xml:space="preserve">Cedar Grove Holdings</t>
  </si>
  <si>
    <t xml:space="preserve">C0029</t>
  </si>
  <si>
    <t xml:space="preserve">Harborview Market</t>
  </si>
  <si>
    <t xml:space="preserve">C0030</t>
  </si>
  <si>
    <t xml:space="preserve">Northwind Supply Co.</t>
  </si>
  <si>
    <t xml:space="preserve">C0031</t>
  </si>
  <si>
    <t xml:space="preserve">Redwood Logistics</t>
  </si>
  <si>
    <t xml:space="preserve">C0032</t>
  </si>
  <si>
    <t xml:space="preserve">Bright Path Distribution</t>
  </si>
  <si>
    <t xml:space="preserve">C0033</t>
  </si>
  <si>
    <t xml:space="preserve">Summit Logistics</t>
  </si>
  <si>
    <t xml:space="preserve">C0034</t>
  </si>
  <si>
    <t xml:space="preserve">Silverline Distribution</t>
  </si>
  <si>
    <t xml:space="preserve">C0035</t>
  </si>
  <si>
    <t xml:space="preserve">Northwind Holdings</t>
  </si>
  <si>
    <t xml:space="preserve">C0036</t>
  </si>
  <si>
    <t xml:space="preserve">Blue Ridge Holdings</t>
  </si>
  <si>
    <t xml:space="preserve">C0037</t>
  </si>
  <si>
    <t xml:space="preserve">C0038</t>
  </si>
  <si>
    <t xml:space="preserve">Summit Holdings</t>
  </si>
  <si>
    <t xml:space="preserve">C0039</t>
  </si>
  <si>
    <t xml:space="preserve">Cedar Grove Partners</t>
  </si>
  <si>
    <t xml:space="preserve">C0040</t>
  </si>
  <si>
    <t xml:space="preserve">Northwind Ventures</t>
  </si>
  <si>
    <t xml:space="preserve">C0041</t>
  </si>
  <si>
    <t xml:space="preserve">Ironwood Holdings</t>
  </si>
  <si>
    <t xml:space="preserve">C0042</t>
  </si>
  <si>
    <t xml:space="preserve">Maple Leaf Retail Group</t>
  </si>
  <si>
    <t xml:space="preserve">C0043</t>
  </si>
  <si>
    <t xml:space="preserve">Blue Ridge Partners</t>
  </si>
  <si>
    <t xml:space="preserve">C0044</t>
  </si>
  <si>
    <t xml:space="preserve">C0045</t>
  </si>
  <si>
    <t xml:space="preserve">Harborview Logistics</t>
  </si>
  <si>
    <t xml:space="preserve">C0046</t>
  </si>
  <si>
    <t xml:space="preserve">C0047</t>
  </si>
  <si>
    <t xml:space="preserve">Bright Path Supply Co.</t>
  </si>
  <si>
    <t xml:space="preserve">C0048</t>
  </si>
  <si>
    <t xml:space="preserve">Northwind Distribution</t>
  </si>
  <si>
    <t xml:space="preserve">C0049</t>
  </si>
  <si>
    <t xml:space="preserve">Bright Path Retail Group</t>
  </si>
  <si>
    <t xml:space="preserve">C0050</t>
  </si>
  <si>
    <t xml:space="preserve">Maple Leaf Holdings</t>
  </si>
  <si>
    <t xml:space="preserve">C0051</t>
  </si>
  <si>
    <t xml:space="preserve">Summit Partners</t>
  </si>
  <si>
    <t xml:space="preserve">C0052</t>
  </si>
  <si>
    <t xml:space="preserve">C0053</t>
  </si>
  <si>
    <t xml:space="preserve">Golden Gate Logistics</t>
  </si>
  <si>
    <t xml:space="preserve">C0054</t>
  </si>
  <si>
    <t xml:space="preserve">Northwind Partners</t>
  </si>
  <si>
    <t xml:space="preserve">C0055</t>
  </si>
  <si>
    <t xml:space="preserve">Stonebridge Goods</t>
  </si>
  <si>
    <t xml:space="preserve">C0056</t>
  </si>
  <si>
    <t xml:space="preserve">C0057</t>
  </si>
  <si>
    <t xml:space="preserve">C0058</t>
  </si>
  <si>
    <t xml:space="preserve">C0059</t>
  </si>
  <si>
    <t xml:space="preserve">Northwind Retail Group</t>
  </si>
  <si>
    <t xml:space="preserve">C0060</t>
  </si>
  <si>
    <t xml:space="preserve">Blue Ridge Ventures</t>
  </si>
  <si>
    <t xml:space="preserve">C0061</t>
  </si>
  <si>
    <t xml:space="preserve">Summit Distribution</t>
  </si>
  <si>
    <t xml:space="preserve">C0062</t>
  </si>
  <si>
    <t xml:space="preserve">Maple Leaf Traders</t>
  </si>
  <si>
    <t xml:space="preserve">C0063</t>
  </si>
  <si>
    <t xml:space="preserve">C0064</t>
  </si>
  <si>
    <t xml:space="preserve">C0065</t>
  </si>
  <si>
    <t xml:space="preserve">Bright Path Goods</t>
  </si>
  <si>
    <t xml:space="preserve">C0066</t>
  </si>
  <si>
    <t xml:space="preserve">C0067</t>
  </si>
  <si>
    <t xml:space="preserve">Silverline Ventures</t>
  </si>
  <si>
    <t xml:space="preserve">C0068</t>
  </si>
  <si>
    <t xml:space="preserve">C0069</t>
  </si>
  <si>
    <t xml:space="preserve">Ironwood Supply Co.</t>
  </si>
  <si>
    <t xml:space="preserve">C0070</t>
  </si>
  <si>
    <t xml:space="preserve">Redwood Market</t>
  </si>
  <si>
    <t xml:space="preserve">C0071</t>
  </si>
  <si>
    <t xml:space="preserve">C0072</t>
  </si>
  <si>
    <t xml:space="preserve">C0073</t>
  </si>
  <si>
    <t xml:space="preserve">Golden Gate Distribution</t>
  </si>
  <si>
    <t xml:space="preserve">C0074</t>
  </si>
  <si>
    <t xml:space="preserve">C0075</t>
  </si>
  <si>
    <t xml:space="preserve">Golden Gate Market</t>
  </si>
  <si>
    <t xml:space="preserve">C0076</t>
  </si>
  <si>
    <t xml:space="preserve">Golden Gate Ventures</t>
  </si>
  <si>
    <t xml:space="preserve">C0077</t>
  </si>
  <si>
    <t xml:space="preserve">Maple Leaf Distribution</t>
  </si>
  <si>
    <t xml:space="preserve">C0078</t>
  </si>
  <si>
    <t xml:space="preserve">Stonebridge Market</t>
  </si>
  <si>
    <t xml:space="preserve">C0079</t>
  </si>
  <si>
    <t xml:space="preserve">C0080</t>
  </si>
  <si>
    <t xml:space="preserve">C0081</t>
  </si>
  <si>
    <t xml:space="preserve">Cedar Grove Ventures</t>
  </si>
  <si>
    <t xml:space="preserve">C0082</t>
  </si>
  <si>
    <t xml:space="preserve">C0083</t>
  </si>
  <si>
    <t xml:space="preserve">Ironwood Traders</t>
  </si>
  <si>
    <t xml:space="preserve">C0084</t>
  </si>
  <si>
    <t xml:space="preserve">C0085</t>
  </si>
  <si>
    <t xml:space="preserve">C0086</t>
  </si>
  <si>
    <t xml:space="preserve">Maple Leaf Supply Co.</t>
  </si>
  <si>
    <t xml:space="preserve">C0087</t>
  </si>
  <si>
    <t xml:space="preserve">C0088</t>
  </si>
  <si>
    <t xml:space="preserve">Blue Ridge Goods</t>
  </si>
  <si>
    <t xml:space="preserve">C0089</t>
  </si>
  <si>
    <t xml:space="preserve">C0090</t>
  </si>
  <si>
    <t xml:space="preserve">C0091</t>
  </si>
  <si>
    <t xml:space="preserve">Maple Leaf Goods</t>
  </si>
  <si>
    <t xml:space="preserve">C0092</t>
  </si>
  <si>
    <t xml:space="preserve">C0093</t>
  </si>
  <si>
    <t xml:space="preserve">C0094</t>
  </si>
  <si>
    <t xml:space="preserve">Blue Ridge Distribution</t>
  </si>
  <si>
    <t xml:space="preserve">C0095</t>
  </si>
  <si>
    <t xml:space="preserve">C0096</t>
  </si>
  <si>
    <t xml:space="preserve">C0097</t>
  </si>
  <si>
    <t xml:space="preserve">Summit Goods</t>
  </si>
  <si>
    <t xml:space="preserve">C0098</t>
  </si>
  <si>
    <t xml:space="preserve">C0099</t>
  </si>
  <si>
    <t xml:space="preserve">C0100</t>
  </si>
  <si>
    <t xml:space="preserve">C0101</t>
  </si>
  <si>
    <t xml:space="preserve">Harborview Holdings</t>
  </si>
  <si>
    <t xml:space="preserve">C0102</t>
  </si>
  <si>
    <t xml:space="preserve">C0103</t>
  </si>
  <si>
    <t xml:space="preserve">Blue Ridge Retail Group</t>
  </si>
  <si>
    <t xml:space="preserve">C0104</t>
  </si>
  <si>
    <t xml:space="preserve">C0105</t>
  </si>
  <si>
    <t xml:space="preserve">C0106</t>
  </si>
  <si>
    <t xml:space="preserve">Harborview Goods</t>
  </si>
  <si>
    <t xml:space="preserve">C0107</t>
  </si>
  <si>
    <t xml:space="preserve">Redwood Distribution</t>
  </si>
  <si>
    <t xml:space="preserve">C0108</t>
  </si>
  <si>
    <t xml:space="preserve">Harborview Partners</t>
  </si>
  <si>
    <t xml:space="preserve">C0109</t>
  </si>
  <si>
    <t xml:space="preserve">C0110</t>
  </si>
  <si>
    <t xml:space="preserve">C0111</t>
  </si>
  <si>
    <t xml:space="preserve">C0112</t>
  </si>
  <si>
    <t xml:space="preserve">Harborview Retail Group</t>
  </si>
  <si>
    <t xml:space="preserve">C0113</t>
  </si>
  <si>
    <t xml:space="preserve">C0114</t>
  </si>
  <si>
    <t xml:space="preserve">Northwind Market</t>
  </si>
  <si>
    <t xml:space="preserve">C0115</t>
  </si>
  <si>
    <t xml:space="preserve">Maple Leaf Ventures</t>
  </si>
  <si>
    <t xml:space="preserve">C0116</t>
  </si>
  <si>
    <t xml:space="preserve">Ironwood Ventures</t>
  </si>
  <si>
    <t xml:space="preserve">C0117</t>
  </si>
  <si>
    <t xml:space="preserve">C0118</t>
  </si>
  <si>
    <t xml:space="preserve">C0119</t>
  </si>
  <si>
    <t xml:space="preserve">Northwind Logistics</t>
  </si>
  <si>
    <t xml:space="preserve">C0120</t>
  </si>
  <si>
    <t xml:space="preserve">TransactionID</t>
  </si>
  <si>
    <t xml:space="preserve">Date</t>
  </si>
  <si>
    <t xml:space="preserve">Quantity</t>
  </si>
  <si>
    <t xml:space="preserve">Subtotal</t>
  </si>
  <si>
    <t xml:space="preserve">Discount</t>
  </si>
  <si>
    <t xml:space="preserve">TaxAmount</t>
  </si>
  <si>
    <t xml:space="preserve">Total</t>
  </si>
  <si>
    <t xml:space="preserve">T00001</t>
  </si>
  <si>
    <t xml:space="preserve">T00002</t>
  </si>
  <si>
    <t xml:space="preserve">T00003</t>
  </si>
  <si>
    <t xml:space="preserve">T00004</t>
  </si>
  <si>
    <t xml:space="preserve">T00005</t>
  </si>
  <si>
    <t xml:space="preserve">T00006</t>
  </si>
  <si>
    <t xml:space="preserve">T00007</t>
  </si>
  <si>
    <t xml:space="preserve">T00008</t>
  </si>
  <si>
    <t xml:space="preserve">T00009</t>
  </si>
  <si>
    <t xml:space="preserve">T00010</t>
  </si>
  <si>
    <t xml:space="preserve">T00011</t>
  </si>
  <si>
    <t xml:space="preserve">T00012</t>
  </si>
  <si>
    <t xml:space="preserve">T00013</t>
  </si>
  <si>
    <t xml:space="preserve">T00014</t>
  </si>
  <si>
    <t xml:space="preserve">T00015</t>
  </si>
  <si>
    <t xml:space="preserve">T00016</t>
  </si>
  <si>
    <t xml:space="preserve">T00017</t>
  </si>
  <si>
    <t xml:space="preserve">T00018</t>
  </si>
  <si>
    <t xml:space="preserve">T00019</t>
  </si>
  <si>
    <t xml:space="preserve">T00020</t>
  </si>
  <si>
    <t xml:space="preserve">T00021</t>
  </si>
  <si>
    <t xml:space="preserve">T00022</t>
  </si>
  <si>
    <t xml:space="preserve">T00023</t>
  </si>
  <si>
    <t xml:space="preserve">T00024</t>
  </si>
  <si>
    <t xml:space="preserve">T00025</t>
  </si>
  <si>
    <t xml:space="preserve">T00026</t>
  </si>
  <si>
    <t xml:space="preserve">T00027</t>
  </si>
  <si>
    <t xml:space="preserve">T00028</t>
  </si>
  <si>
    <t xml:space="preserve">T00029</t>
  </si>
  <si>
    <t xml:space="preserve">T00030</t>
  </si>
  <si>
    <t xml:space="preserve">T00031</t>
  </si>
  <si>
    <t xml:space="preserve">T00032</t>
  </si>
  <si>
    <t xml:space="preserve">T00033</t>
  </si>
  <si>
    <t xml:space="preserve">T00034</t>
  </si>
  <si>
    <t xml:space="preserve">T00035</t>
  </si>
  <si>
    <t xml:space="preserve">T00036</t>
  </si>
  <si>
    <t xml:space="preserve">T00037</t>
  </si>
  <si>
    <t xml:space="preserve">T00038</t>
  </si>
  <si>
    <t xml:space="preserve">T00039</t>
  </si>
  <si>
    <t xml:space="preserve">T00040</t>
  </si>
  <si>
    <t xml:space="preserve">T00041</t>
  </si>
  <si>
    <t xml:space="preserve">T00042</t>
  </si>
  <si>
    <t xml:space="preserve">T00043</t>
  </si>
  <si>
    <t xml:space="preserve">T00044</t>
  </si>
  <si>
    <t xml:space="preserve">T00045</t>
  </si>
  <si>
    <t xml:space="preserve">T00046</t>
  </si>
  <si>
    <t xml:space="preserve">T00047</t>
  </si>
  <si>
    <t xml:space="preserve">T00048</t>
  </si>
  <si>
    <t xml:space="preserve">T00049</t>
  </si>
  <si>
    <t xml:space="preserve">T00050</t>
  </si>
  <si>
    <t xml:space="preserve">T00051</t>
  </si>
  <si>
    <t xml:space="preserve">T00052</t>
  </si>
  <si>
    <t xml:space="preserve">T00053</t>
  </si>
  <si>
    <t xml:space="preserve">T00054</t>
  </si>
  <si>
    <t xml:space="preserve">T00055</t>
  </si>
  <si>
    <t xml:space="preserve">T00056</t>
  </si>
  <si>
    <t xml:space="preserve">T00057</t>
  </si>
  <si>
    <t xml:space="preserve">T00058</t>
  </si>
  <si>
    <t xml:space="preserve">T00059</t>
  </si>
  <si>
    <t xml:space="preserve">T00060</t>
  </si>
  <si>
    <t xml:space="preserve">T00061</t>
  </si>
  <si>
    <t xml:space="preserve">T00062</t>
  </si>
  <si>
    <t xml:space="preserve">T00063</t>
  </si>
  <si>
    <t xml:space="preserve">T00064</t>
  </si>
  <si>
    <t xml:space="preserve">T00065</t>
  </si>
  <si>
    <t xml:space="preserve">T00066</t>
  </si>
  <si>
    <t xml:space="preserve">T00067</t>
  </si>
  <si>
    <t xml:space="preserve">T00068</t>
  </si>
  <si>
    <t xml:space="preserve">T00069</t>
  </si>
  <si>
    <t xml:space="preserve">T00070</t>
  </si>
  <si>
    <t xml:space="preserve">T00071</t>
  </si>
  <si>
    <t xml:space="preserve">T00072</t>
  </si>
  <si>
    <t xml:space="preserve">T00073</t>
  </si>
  <si>
    <t xml:space="preserve">T00074</t>
  </si>
  <si>
    <t xml:space="preserve">T00075</t>
  </si>
  <si>
    <t xml:space="preserve">T00076</t>
  </si>
  <si>
    <t xml:space="preserve">T00077</t>
  </si>
  <si>
    <t xml:space="preserve">T00078</t>
  </si>
  <si>
    <t xml:space="preserve">T00079</t>
  </si>
  <si>
    <t xml:space="preserve">T00080</t>
  </si>
  <si>
    <t xml:space="preserve">T00081</t>
  </si>
  <si>
    <t xml:space="preserve">T00082</t>
  </si>
  <si>
    <t xml:space="preserve">T00083</t>
  </si>
  <si>
    <t xml:space="preserve">T00084</t>
  </si>
  <si>
    <t xml:space="preserve">T00085</t>
  </si>
  <si>
    <t xml:space="preserve">T00086</t>
  </si>
  <si>
    <t xml:space="preserve">T00087</t>
  </si>
  <si>
    <t xml:space="preserve">T00088</t>
  </si>
  <si>
    <t xml:space="preserve">T00089</t>
  </si>
  <si>
    <t xml:space="preserve">T00090</t>
  </si>
  <si>
    <t xml:space="preserve">T00091</t>
  </si>
  <si>
    <t xml:space="preserve">T00092</t>
  </si>
  <si>
    <t xml:space="preserve">T00093</t>
  </si>
  <si>
    <t xml:space="preserve">T00094</t>
  </si>
  <si>
    <t xml:space="preserve">T00095</t>
  </si>
  <si>
    <t xml:space="preserve">T00096</t>
  </si>
  <si>
    <t xml:space="preserve">T00097</t>
  </si>
  <si>
    <t xml:space="preserve">T00098</t>
  </si>
  <si>
    <t xml:space="preserve">T00099</t>
  </si>
  <si>
    <t xml:space="preserve">T00100</t>
  </si>
  <si>
    <t xml:space="preserve">T00101</t>
  </si>
  <si>
    <t xml:space="preserve">T00102</t>
  </si>
  <si>
    <t xml:space="preserve">T00103</t>
  </si>
  <si>
    <t xml:space="preserve">T00104</t>
  </si>
  <si>
    <t xml:space="preserve">T00105</t>
  </si>
  <si>
    <t xml:space="preserve">T00106</t>
  </si>
  <si>
    <t xml:space="preserve">T00107</t>
  </si>
  <si>
    <t xml:space="preserve">T00108</t>
  </si>
  <si>
    <t xml:space="preserve">T00109</t>
  </si>
  <si>
    <t xml:space="preserve">T00110</t>
  </si>
  <si>
    <t xml:space="preserve">T00111</t>
  </si>
  <si>
    <t xml:space="preserve">T00112</t>
  </si>
  <si>
    <t xml:space="preserve">T00113</t>
  </si>
  <si>
    <t xml:space="preserve">T00114</t>
  </si>
  <si>
    <t xml:space="preserve">T00115</t>
  </si>
  <si>
    <t xml:space="preserve">T00116</t>
  </si>
  <si>
    <t xml:space="preserve">T00117</t>
  </si>
  <si>
    <t xml:space="preserve">T00118</t>
  </si>
  <si>
    <t xml:space="preserve">T00119</t>
  </si>
  <si>
    <t xml:space="preserve">T00120</t>
  </si>
  <si>
    <t xml:space="preserve">T00121</t>
  </si>
  <si>
    <t xml:space="preserve">T00122</t>
  </si>
  <si>
    <t xml:space="preserve">T00123</t>
  </si>
  <si>
    <t xml:space="preserve">T00124</t>
  </si>
  <si>
    <t xml:space="preserve">T00125</t>
  </si>
  <si>
    <t xml:space="preserve">T00126</t>
  </si>
  <si>
    <t xml:space="preserve">T00127</t>
  </si>
  <si>
    <t xml:space="preserve">T00128</t>
  </si>
  <si>
    <t xml:space="preserve">T00129</t>
  </si>
  <si>
    <t xml:space="preserve">T00130</t>
  </si>
  <si>
    <t xml:space="preserve">T00131</t>
  </si>
  <si>
    <t xml:space="preserve">T00132</t>
  </si>
  <si>
    <t xml:space="preserve">T00133</t>
  </si>
  <si>
    <t xml:space="preserve">T00134</t>
  </si>
  <si>
    <t xml:space="preserve">T00135</t>
  </si>
  <si>
    <t xml:space="preserve">T00136</t>
  </si>
  <si>
    <t xml:space="preserve">T00137</t>
  </si>
  <si>
    <t xml:space="preserve">T00138</t>
  </si>
  <si>
    <t xml:space="preserve">T00139</t>
  </si>
  <si>
    <t xml:space="preserve">T00140</t>
  </si>
  <si>
    <t xml:space="preserve">T00141</t>
  </si>
  <si>
    <t xml:space="preserve">T00142</t>
  </si>
  <si>
    <t xml:space="preserve">T00143</t>
  </si>
  <si>
    <t xml:space="preserve">T00144</t>
  </si>
  <si>
    <t xml:space="preserve">T00145</t>
  </si>
  <si>
    <t xml:space="preserve">T00146</t>
  </si>
  <si>
    <t xml:space="preserve">T00147</t>
  </si>
  <si>
    <t xml:space="preserve">T00148</t>
  </si>
  <si>
    <t xml:space="preserve">T00149</t>
  </si>
  <si>
    <t xml:space="preserve">T00150</t>
  </si>
  <si>
    <t xml:space="preserve">T00151</t>
  </si>
  <si>
    <t xml:space="preserve">T00152</t>
  </si>
  <si>
    <t xml:space="preserve">T00153</t>
  </si>
  <si>
    <t xml:space="preserve">T00154</t>
  </si>
  <si>
    <t xml:space="preserve">T00155</t>
  </si>
  <si>
    <t xml:space="preserve">T00156</t>
  </si>
  <si>
    <t xml:space="preserve">T00157</t>
  </si>
  <si>
    <t xml:space="preserve">T00158</t>
  </si>
  <si>
    <t xml:space="preserve">T00159</t>
  </si>
  <si>
    <t xml:space="preserve">T00160</t>
  </si>
  <si>
    <t xml:space="preserve">T00161</t>
  </si>
  <si>
    <t xml:space="preserve">T00162</t>
  </si>
  <si>
    <t xml:space="preserve">T00163</t>
  </si>
  <si>
    <t xml:space="preserve">T00164</t>
  </si>
  <si>
    <t xml:space="preserve">T00165</t>
  </si>
  <si>
    <t xml:space="preserve">T00166</t>
  </si>
  <si>
    <t xml:space="preserve">T00167</t>
  </si>
  <si>
    <t xml:space="preserve">T00168</t>
  </si>
  <si>
    <t xml:space="preserve">T00169</t>
  </si>
  <si>
    <t xml:space="preserve">T00170</t>
  </si>
  <si>
    <t xml:space="preserve">T00171</t>
  </si>
  <si>
    <t xml:space="preserve">T00172</t>
  </si>
  <si>
    <t xml:space="preserve">T00173</t>
  </si>
  <si>
    <t xml:space="preserve">T00174</t>
  </si>
  <si>
    <t xml:space="preserve">T00175</t>
  </si>
  <si>
    <t xml:space="preserve">T00176</t>
  </si>
  <si>
    <t xml:space="preserve">T00177</t>
  </si>
  <si>
    <t xml:space="preserve">T00178</t>
  </si>
  <si>
    <t xml:space="preserve">T00179</t>
  </si>
  <si>
    <t xml:space="preserve">T00180</t>
  </si>
  <si>
    <t xml:space="preserve">T00181</t>
  </si>
  <si>
    <t xml:space="preserve">T00182</t>
  </si>
  <si>
    <t xml:space="preserve">T00183</t>
  </si>
  <si>
    <t xml:space="preserve">T00184</t>
  </si>
  <si>
    <t xml:space="preserve">T00185</t>
  </si>
  <si>
    <t xml:space="preserve">T00186</t>
  </si>
  <si>
    <t xml:space="preserve">T00187</t>
  </si>
  <si>
    <t xml:space="preserve">T00188</t>
  </si>
  <si>
    <t xml:space="preserve">T00189</t>
  </si>
  <si>
    <t xml:space="preserve">T00190</t>
  </si>
  <si>
    <t xml:space="preserve">T00191</t>
  </si>
  <si>
    <t xml:space="preserve">T00192</t>
  </si>
  <si>
    <t xml:space="preserve">T00193</t>
  </si>
  <si>
    <t xml:space="preserve">T00194</t>
  </si>
  <si>
    <t xml:space="preserve">T00195</t>
  </si>
  <si>
    <t xml:space="preserve">T00196</t>
  </si>
  <si>
    <t xml:space="preserve">T00197</t>
  </si>
  <si>
    <t xml:space="preserve">T00198</t>
  </si>
  <si>
    <t xml:space="preserve">T00199</t>
  </si>
  <si>
    <t xml:space="preserve">T00200</t>
  </si>
  <si>
    <t xml:space="preserve">T00201</t>
  </si>
  <si>
    <t xml:space="preserve">T00202</t>
  </si>
  <si>
    <t xml:space="preserve">T00203</t>
  </si>
  <si>
    <t xml:space="preserve">T00204</t>
  </si>
  <si>
    <t xml:space="preserve">T00205</t>
  </si>
  <si>
    <t xml:space="preserve">T00206</t>
  </si>
  <si>
    <t xml:space="preserve">T00207</t>
  </si>
  <si>
    <t xml:space="preserve">T00208</t>
  </si>
  <si>
    <t xml:space="preserve">T00209</t>
  </si>
  <si>
    <t xml:space="preserve">T00210</t>
  </si>
  <si>
    <t xml:space="preserve">T00211</t>
  </si>
  <si>
    <t xml:space="preserve">T00212</t>
  </si>
  <si>
    <t xml:space="preserve">T00213</t>
  </si>
  <si>
    <t xml:space="preserve">T00214</t>
  </si>
  <si>
    <t xml:space="preserve">T00215</t>
  </si>
  <si>
    <t xml:space="preserve">T00216</t>
  </si>
  <si>
    <t xml:space="preserve">T00217</t>
  </si>
  <si>
    <t xml:space="preserve">T00218</t>
  </si>
  <si>
    <t xml:space="preserve">T00219</t>
  </si>
  <si>
    <t xml:space="preserve">T00220</t>
  </si>
  <si>
    <t xml:space="preserve">T00221</t>
  </si>
  <si>
    <t xml:space="preserve">T00222</t>
  </si>
  <si>
    <t xml:space="preserve">T00223</t>
  </si>
  <si>
    <t xml:space="preserve">T00224</t>
  </si>
  <si>
    <t xml:space="preserve">T00225</t>
  </si>
  <si>
    <t xml:space="preserve">T00226</t>
  </si>
  <si>
    <t xml:space="preserve">T00227</t>
  </si>
  <si>
    <t xml:space="preserve">T00228</t>
  </si>
  <si>
    <t xml:space="preserve">T00229</t>
  </si>
  <si>
    <t xml:space="preserve">T00230</t>
  </si>
  <si>
    <t xml:space="preserve">T00231</t>
  </si>
  <si>
    <t xml:space="preserve">T00232</t>
  </si>
  <si>
    <t xml:space="preserve">T00233</t>
  </si>
  <si>
    <t xml:space="preserve">T00234</t>
  </si>
  <si>
    <t xml:space="preserve">T00235</t>
  </si>
  <si>
    <t xml:space="preserve">T00236</t>
  </si>
  <si>
    <t xml:space="preserve">T00237</t>
  </si>
  <si>
    <t xml:space="preserve">T00238</t>
  </si>
  <si>
    <t xml:space="preserve">T00239</t>
  </si>
  <si>
    <t xml:space="preserve">T00240</t>
  </si>
  <si>
    <t xml:space="preserve">T00241</t>
  </si>
  <si>
    <t xml:space="preserve">T00242</t>
  </si>
  <si>
    <t xml:space="preserve">T00243</t>
  </si>
  <si>
    <t xml:space="preserve">T00244</t>
  </si>
  <si>
    <t xml:space="preserve">T00245</t>
  </si>
  <si>
    <t xml:space="preserve">T00246</t>
  </si>
  <si>
    <t xml:space="preserve">T00247</t>
  </si>
  <si>
    <t xml:space="preserve">T00248</t>
  </si>
  <si>
    <t xml:space="preserve">T00249</t>
  </si>
  <si>
    <t xml:space="preserve">T00250</t>
  </si>
  <si>
    <t xml:space="preserve">T00251</t>
  </si>
  <si>
    <t xml:space="preserve">T00252</t>
  </si>
  <si>
    <t xml:space="preserve">T00253</t>
  </si>
  <si>
    <t xml:space="preserve">T00254</t>
  </si>
  <si>
    <t xml:space="preserve">T00255</t>
  </si>
  <si>
    <t xml:space="preserve">T00256</t>
  </si>
  <si>
    <t xml:space="preserve">T00257</t>
  </si>
  <si>
    <t xml:space="preserve">T00258</t>
  </si>
  <si>
    <t xml:space="preserve">T00259</t>
  </si>
  <si>
    <t xml:space="preserve">T00260</t>
  </si>
  <si>
    <t xml:space="preserve">T00261</t>
  </si>
  <si>
    <t xml:space="preserve">T00262</t>
  </si>
  <si>
    <t xml:space="preserve">T00263</t>
  </si>
  <si>
    <t xml:space="preserve">T00264</t>
  </si>
  <si>
    <t xml:space="preserve">T00265</t>
  </si>
  <si>
    <t xml:space="preserve">T00266</t>
  </si>
  <si>
    <t xml:space="preserve">T00267</t>
  </si>
  <si>
    <t xml:space="preserve">T00268</t>
  </si>
  <si>
    <t xml:space="preserve">T00269</t>
  </si>
  <si>
    <t xml:space="preserve">T00270</t>
  </si>
  <si>
    <t xml:space="preserve">T00271</t>
  </si>
  <si>
    <t xml:space="preserve">T00272</t>
  </si>
  <si>
    <t xml:space="preserve">T00273</t>
  </si>
  <si>
    <t xml:space="preserve">T00274</t>
  </si>
  <si>
    <t xml:space="preserve">T00275</t>
  </si>
  <si>
    <t xml:space="preserve">T00276</t>
  </si>
  <si>
    <t xml:space="preserve">T00277</t>
  </si>
  <si>
    <t xml:space="preserve">T00278</t>
  </si>
  <si>
    <t xml:space="preserve">T00279</t>
  </si>
  <si>
    <t xml:space="preserve">T00280</t>
  </si>
  <si>
    <t xml:space="preserve">T00281</t>
  </si>
  <si>
    <t xml:space="preserve">T00282</t>
  </si>
  <si>
    <t xml:space="preserve">T00283</t>
  </si>
  <si>
    <t xml:space="preserve">T00284</t>
  </si>
  <si>
    <t xml:space="preserve">T00285</t>
  </si>
  <si>
    <t xml:space="preserve">T00286</t>
  </si>
  <si>
    <t xml:space="preserve">T00287</t>
  </si>
  <si>
    <t xml:space="preserve">T00288</t>
  </si>
  <si>
    <t xml:space="preserve">T00289</t>
  </si>
  <si>
    <t xml:space="preserve">T00290</t>
  </si>
  <si>
    <t xml:space="preserve">T00291</t>
  </si>
  <si>
    <t xml:space="preserve">T00292</t>
  </si>
  <si>
    <t xml:space="preserve">T00293</t>
  </si>
  <si>
    <t xml:space="preserve">T00294</t>
  </si>
  <si>
    <t xml:space="preserve">T00295</t>
  </si>
  <si>
    <t xml:space="preserve">T00296</t>
  </si>
  <si>
    <t xml:space="preserve">T00297</t>
  </si>
  <si>
    <t xml:space="preserve">T00298</t>
  </si>
  <si>
    <t xml:space="preserve">T00299</t>
  </si>
  <si>
    <t xml:space="preserve">T00300</t>
  </si>
  <si>
    <t xml:space="preserve">T00301</t>
  </si>
  <si>
    <t xml:space="preserve">T00302</t>
  </si>
  <si>
    <t xml:space="preserve">T00303</t>
  </si>
  <si>
    <t xml:space="preserve">T00304</t>
  </si>
  <si>
    <t xml:space="preserve">T00305</t>
  </si>
  <si>
    <t xml:space="preserve">T00306</t>
  </si>
  <si>
    <t xml:space="preserve">T00307</t>
  </si>
  <si>
    <t xml:space="preserve">T00308</t>
  </si>
  <si>
    <t xml:space="preserve">T00309</t>
  </si>
  <si>
    <t xml:space="preserve">T00310</t>
  </si>
  <si>
    <t xml:space="preserve">T00311</t>
  </si>
  <si>
    <t xml:space="preserve">T00312</t>
  </si>
  <si>
    <t xml:space="preserve">T00313</t>
  </si>
  <si>
    <t xml:space="preserve">T00314</t>
  </si>
  <si>
    <t xml:space="preserve">T00315</t>
  </si>
  <si>
    <t xml:space="preserve">T00316</t>
  </si>
  <si>
    <t xml:space="preserve">T00317</t>
  </si>
  <si>
    <t xml:space="preserve">T00318</t>
  </si>
  <si>
    <t xml:space="preserve">T00319</t>
  </si>
  <si>
    <t xml:space="preserve">T00320</t>
  </si>
  <si>
    <t xml:space="preserve">T00321</t>
  </si>
  <si>
    <t xml:space="preserve">T00322</t>
  </si>
  <si>
    <t xml:space="preserve">T00323</t>
  </si>
  <si>
    <t xml:space="preserve">T00324</t>
  </si>
  <si>
    <t xml:space="preserve">T00325</t>
  </si>
  <si>
    <t xml:space="preserve">T00326</t>
  </si>
  <si>
    <t xml:space="preserve">T00327</t>
  </si>
  <si>
    <t xml:space="preserve">T00328</t>
  </si>
  <si>
    <t xml:space="preserve">T00329</t>
  </si>
  <si>
    <t xml:space="preserve">T00330</t>
  </si>
  <si>
    <t xml:space="preserve">T00331</t>
  </si>
  <si>
    <t xml:space="preserve">T00332</t>
  </si>
  <si>
    <t xml:space="preserve">T00333</t>
  </si>
  <si>
    <t xml:space="preserve">T00334</t>
  </si>
  <si>
    <t xml:space="preserve">T00335</t>
  </si>
  <si>
    <t xml:space="preserve">T00336</t>
  </si>
  <si>
    <t xml:space="preserve">T00337</t>
  </si>
  <si>
    <t xml:space="preserve">T00338</t>
  </si>
  <si>
    <t xml:space="preserve">T00339</t>
  </si>
  <si>
    <t xml:space="preserve">T00340</t>
  </si>
  <si>
    <t xml:space="preserve">T00341</t>
  </si>
  <si>
    <t xml:space="preserve">T00342</t>
  </si>
  <si>
    <t xml:space="preserve">T00343</t>
  </si>
  <si>
    <t xml:space="preserve">T00344</t>
  </si>
  <si>
    <t xml:space="preserve">T00345</t>
  </si>
  <si>
    <t xml:space="preserve">T00346</t>
  </si>
  <si>
    <t xml:space="preserve">T00347</t>
  </si>
  <si>
    <t xml:space="preserve">T00348</t>
  </si>
  <si>
    <t xml:space="preserve">T00349</t>
  </si>
  <si>
    <t xml:space="preserve">T00350</t>
  </si>
  <si>
    <t xml:space="preserve">T00351</t>
  </si>
  <si>
    <t xml:space="preserve">T00352</t>
  </si>
  <si>
    <t xml:space="preserve">T00353</t>
  </si>
  <si>
    <t xml:space="preserve">T00354</t>
  </si>
  <si>
    <t xml:space="preserve">T00355</t>
  </si>
  <si>
    <t xml:space="preserve">T00356</t>
  </si>
  <si>
    <t xml:space="preserve">T00357</t>
  </si>
  <si>
    <t xml:space="preserve">T00358</t>
  </si>
  <si>
    <t xml:space="preserve">T00359</t>
  </si>
  <si>
    <t xml:space="preserve">T00360</t>
  </si>
  <si>
    <t xml:space="preserve">T00361</t>
  </si>
  <si>
    <t xml:space="preserve">T00362</t>
  </si>
  <si>
    <t xml:space="preserve">T00363</t>
  </si>
  <si>
    <t xml:space="preserve">T00364</t>
  </si>
  <si>
    <t xml:space="preserve">T00365</t>
  </si>
  <si>
    <t xml:space="preserve">T00366</t>
  </si>
  <si>
    <t xml:space="preserve">T00367</t>
  </si>
  <si>
    <t xml:space="preserve">T00368</t>
  </si>
  <si>
    <t xml:space="preserve">T00369</t>
  </si>
  <si>
    <t xml:space="preserve">T00370</t>
  </si>
  <si>
    <t xml:space="preserve">T00371</t>
  </si>
  <si>
    <t xml:space="preserve">T00372</t>
  </si>
  <si>
    <t xml:space="preserve">T00373</t>
  </si>
  <si>
    <t xml:space="preserve">T00374</t>
  </si>
  <si>
    <t xml:space="preserve">T00375</t>
  </si>
  <si>
    <t xml:space="preserve">T00376</t>
  </si>
  <si>
    <t xml:space="preserve">T00377</t>
  </si>
  <si>
    <t xml:space="preserve">T00378</t>
  </si>
  <si>
    <t xml:space="preserve">T00379</t>
  </si>
  <si>
    <t xml:space="preserve">T00380</t>
  </si>
  <si>
    <t xml:space="preserve">T00381</t>
  </si>
  <si>
    <t xml:space="preserve">T00382</t>
  </si>
  <si>
    <t xml:space="preserve">T00383</t>
  </si>
  <si>
    <t xml:space="preserve">T00384</t>
  </si>
  <si>
    <t xml:space="preserve">T00385</t>
  </si>
  <si>
    <t xml:space="preserve">T00386</t>
  </si>
  <si>
    <t xml:space="preserve">T00387</t>
  </si>
  <si>
    <t xml:space="preserve">T00388</t>
  </si>
  <si>
    <t xml:space="preserve">T00389</t>
  </si>
  <si>
    <t xml:space="preserve">T00390</t>
  </si>
  <si>
    <t xml:space="preserve">T00391</t>
  </si>
  <si>
    <t xml:space="preserve">T00392</t>
  </si>
  <si>
    <t xml:space="preserve">T00393</t>
  </si>
  <si>
    <t xml:space="preserve">T00394</t>
  </si>
  <si>
    <t xml:space="preserve">T00395</t>
  </si>
  <si>
    <t xml:space="preserve">T00396</t>
  </si>
  <si>
    <t xml:space="preserve">T00397</t>
  </si>
  <si>
    <t xml:space="preserve">T00398</t>
  </si>
  <si>
    <t xml:space="preserve">T00399</t>
  </si>
  <si>
    <t xml:space="preserve">T00400</t>
  </si>
  <si>
    <t xml:space="preserve">Sales Summary</t>
  </si>
  <si>
    <t xml:space="preserve">Revenue by Category</t>
  </si>
  <si>
    <t xml:space="preserve">Revenue by Region</t>
  </si>
  <si>
    <t xml:space="preserve">Average Product Margin</t>
  </si>
  <si>
    <t xml:space="preserve">Average Regional Tax Rate</t>
  </si>
  <si>
    <t xml:space="preserve">Dynamic lookup -- pick a sheet:</t>
  </si>
  <si>
    <t xml:space="preserve">SelectedSheet</t>
  </si>
  <si>
    <t xml:space="preserve">Row count of selected sheet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</si>
</sst>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0.00%"/>
    <numFmt numFmtId="168" formatCode="\$#,##0"/>
    <numFmt numFmtId="169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ependency_benchmark.xlsx" TargetMode="External"/><Relationship Id="rId2" Type="http://schemas.openxmlformats.org/officeDocument/2006/relationships/hyperlink" Target="dependency_benchmark.xlsx" TargetMode="External"/><Relationship Id="rId3" Type="http://schemas.openxmlformats.org/officeDocument/2006/relationships/hyperlink" Target="dependency_benchmark.xlsx" TargetMode="External"/><Relationship Id="rId4" Type="http://schemas.openxmlformats.org/officeDocument/2006/relationships/hyperlink" Target="dependency_benchmark.xlsx" TargetMode="External"/><Relationship Id="rId5" Type="http://schemas.openxmlformats.org/officeDocument/2006/relationships/hyperlink" Target="dependency_benchmark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45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40</v>
      </c>
      <c r="C4" s="4" t="s">
        <v>6</v>
      </c>
      <c r="D4" s="4" t="s">
        <v>7</v>
      </c>
    </row>
    <row r="5" customFormat="false" ht="15" hidden="false" customHeight="false" outlineLevel="0" collapsed="false">
      <c r="A5" s="3" t="s">
        <v>8</v>
      </c>
      <c r="B5" s="4" t="n">
        <v>8</v>
      </c>
      <c r="C5" s="4" t="s">
        <v>9</v>
      </c>
      <c r="D5" s="4" t="s">
        <v>7</v>
      </c>
    </row>
    <row r="6" customFormat="false" ht="15" hidden="false" customHeight="false" outlineLevel="0" collapsed="false">
      <c r="A6" s="3" t="s">
        <v>10</v>
      </c>
      <c r="B6" s="4" t="n">
        <v>120</v>
      </c>
      <c r="C6" s="4" t="s">
        <v>11</v>
      </c>
      <c r="D6" s="4" t="s">
        <v>12</v>
      </c>
    </row>
    <row r="7" customFormat="false" ht="15" hidden="false" customHeight="false" outlineLevel="0" collapsed="false">
      <c r="A7" s="3" t="s">
        <v>13</v>
      </c>
      <c r="B7" s="4" t="n">
        <v>400</v>
      </c>
      <c r="C7" s="4" t="s">
        <v>14</v>
      </c>
      <c r="D7" s="4" t="s">
        <v>15</v>
      </c>
    </row>
    <row r="8" customFormat="false" ht="15" hidden="false" customHeight="false" outlineLevel="0" collapsed="false">
      <c r="A8" s="3" t="s">
        <v>16</v>
      </c>
      <c r="B8" s="4" t="s">
        <v>17</v>
      </c>
      <c r="C8" s="4" t="s">
        <v>18</v>
      </c>
      <c r="D8" s="4" t="s">
        <v>19</v>
      </c>
    </row>
  </sheetData>
  <hyperlinks>
    <hyperlink ref="A4" r:id="rId1" location="'Products'!A1" display="Products"/>
    <hyperlink ref="A5" r:id="rId2" location="'Regions'!A1" display="Regions"/>
    <hyperlink ref="A6" r:id="rId3" location="'Customers'!A1" display="Customers"/>
    <hyperlink ref="A7" r:id="rId4" location="'Sales'!A1" display="Sales"/>
    <hyperlink ref="A8" r:id="rId5" location="'Summary'!A1" display="Summ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</row>
    <row r="2" customFormat="false" ht="15" hidden="false" customHeight="false" outlineLevel="0" collapsed="false">
      <c r="A2" s="4" t="s">
        <v>26</v>
      </c>
      <c r="B2" s="4" t="s">
        <v>27</v>
      </c>
      <c r="C2" s="4" t="s">
        <v>28</v>
      </c>
      <c r="D2" s="5" t="n">
        <v>65</v>
      </c>
      <c r="E2" s="5" t="n">
        <v>89.87</v>
      </c>
      <c r="F2" s="6" t="n">
        <f aca="false">(E2-D2)/E2</f>
        <v>0.276733058862802</v>
      </c>
    </row>
    <row r="3" customFormat="false" ht="15" hidden="false" customHeight="false" outlineLevel="0" collapsed="false">
      <c r="A3" s="4" t="s">
        <v>29</v>
      </c>
      <c r="B3" s="4" t="s">
        <v>30</v>
      </c>
      <c r="C3" s="4" t="s">
        <v>31</v>
      </c>
      <c r="D3" s="5" t="n">
        <v>26.3</v>
      </c>
      <c r="E3" s="5" t="n">
        <v>43.42</v>
      </c>
      <c r="F3" s="6" t="n">
        <f aca="false">(E3-D3)/E3</f>
        <v>0.394288346384155</v>
      </c>
    </row>
    <row r="4" customFormat="false" ht="15" hidden="false" customHeight="false" outlineLevel="0" collapsed="false">
      <c r="A4" s="4" t="s">
        <v>32</v>
      </c>
      <c r="B4" s="4" t="s">
        <v>33</v>
      </c>
      <c r="C4" s="4" t="s">
        <v>34</v>
      </c>
      <c r="D4" s="5" t="n">
        <v>62</v>
      </c>
      <c r="E4" s="5" t="n">
        <v>112.96</v>
      </c>
      <c r="F4" s="6" t="n">
        <f aca="false">(E4-D4)/E4</f>
        <v>0.451133144475921</v>
      </c>
    </row>
    <row r="5" customFormat="false" ht="15" hidden="false" customHeight="false" outlineLevel="0" collapsed="false">
      <c r="A5" s="4" t="s">
        <v>35</v>
      </c>
      <c r="B5" s="4" t="s">
        <v>36</v>
      </c>
      <c r="C5" s="4" t="s">
        <v>31</v>
      </c>
      <c r="D5" s="5" t="n">
        <v>107.78</v>
      </c>
      <c r="E5" s="5" t="n">
        <v>180.72</v>
      </c>
      <c r="F5" s="6" t="n">
        <f aca="false">(E5-D5)/E5</f>
        <v>0.40360779105799</v>
      </c>
    </row>
    <row r="6" customFormat="false" ht="15" hidden="false" customHeight="false" outlineLevel="0" collapsed="false">
      <c r="A6" s="4" t="s">
        <v>37</v>
      </c>
      <c r="B6" s="4" t="s">
        <v>38</v>
      </c>
      <c r="C6" s="4" t="s">
        <v>39</v>
      </c>
      <c r="D6" s="5" t="n">
        <v>190.91</v>
      </c>
      <c r="E6" s="5" t="n">
        <v>267.59</v>
      </c>
      <c r="F6" s="6" t="n">
        <f aca="false">(E6-D6)/E6</f>
        <v>0.286557793639523</v>
      </c>
    </row>
    <row r="7" customFormat="false" ht="15" hidden="false" customHeight="false" outlineLevel="0" collapsed="false">
      <c r="A7" s="4" t="s">
        <v>40</v>
      </c>
      <c r="B7" s="4" t="s">
        <v>41</v>
      </c>
      <c r="C7" s="4" t="s">
        <v>28</v>
      </c>
      <c r="D7" s="5" t="n">
        <v>43.09</v>
      </c>
      <c r="E7" s="5" t="n">
        <v>93.05</v>
      </c>
      <c r="F7" s="6" t="n">
        <f aca="false">(E7-D7)/E7</f>
        <v>0.536915636754433</v>
      </c>
    </row>
    <row r="8" customFormat="false" ht="15" hidden="false" customHeight="false" outlineLevel="0" collapsed="false">
      <c r="A8" s="4" t="s">
        <v>42</v>
      </c>
      <c r="B8" s="4" t="s">
        <v>43</v>
      </c>
      <c r="C8" s="4" t="s">
        <v>39</v>
      </c>
      <c r="D8" s="5" t="n">
        <v>98.08</v>
      </c>
      <c r="E8" s="5" t="n">
        <v>156.05</v>
      </c>
      <c r="F8" s="6" t="n">
        <f aca="false">(E8-D8)/E8</f>
        <v>0.371483498878565</v>
      </c>
    </row>
    <row r="9" customFormat="false" ht="15" hidden="false" customHeight="false" outlineLevel="0" collapsed="false">
      <c r="A9" s="4" t="s">
        <v>44</v>
      </c>
      <c r="B9" s="4" t="s">
        <v>45</v>
      </c>
      <c r="C9" s="4" t="s">
        <v>28</v>
      </c>
      <c r="D9" s="5" t="n">
        <v>202.75</v>
      </c>
      <c r="E9" s="5" t="n">
        <v>393.99</v>
      </c>
      <c r="F9" s="6" t="n">
        <f aca="false">(E9-D9)/E9</f>
        <v>0.485393030279956</v>
      </c>
    </row>
    <row r="10" customFormat="false" ht="15" hidden="false" customHeight="false" outlineLevel="0" collapsed="false">
      <c r="A10" s="4" t="s">
        <v>46</v>
      </c>
      <c r="B10" s="4" t="s">
        <v>47</v>
      </c>
      <c r="C10" s="4" t="s">
        <v>48</v>
      </c>
      <c r="D10" s="5" t="n">
        <v>24.31</v>
      </c>
      <c r="E10" s="5" t="n">
        <v>37.16</v>
      </c>
      <c r="F10" s="6" t="n">
        <f aca="false">(E10-D10)/E10</f>
        <v>0.345801937567277</v>
      </c>
    </row>
    <row r="11" customFormat="false" ht="15" hidden="false" customHeight="false" outlineLevel="0" collapsed="false">
      <c r="A11" s="4" t="s">
        <v>49</v>
      </c>
      <c r="B11" s="4" t="s">
        <v>45</v>
      </c>
      <c r="C11" s="4" t="s">
        <v>34</v>
      </c>
      <c r="D11" s="5" t="n">
        <v>177.62</v>
      </c>
      <c r="E11" s="5" t="n">
        <v>229.76</v>
      </c>
      <c r="F11" s="6" t="n">
        <f aca="false">(E11-D11)/E11</f>
        <v>0.226932451253482</v>
      </c>
    </row>
    <row r="12" customFormat="false" ht="15" hidden="false" customHeight="false" outlineLevel="0" collapsed="false">
      <c r="A12" s="4" t="s">
        <v>50</v>
      </c>
      <c r="B12" s="4" t="s">
        <v>51</v>
      </c>
      <c r="C12" s="4" t="s">
        <v>28</v>
      </c>
      <c r="D12" s="5" t="n">
        <v>246.38</v>
      </c>
      <c r="E12" s="5" t="n">
        <v>508.17</v>
      </c>
      <c r="F12" s="6" t="n">
        <f aca="false">(E12-D12)/E12</f>
        <v>0.51516224885373</v>
      </c>
    </row>
    <row r="13" customFormat="false" ht="15" hidden="false" customHeight="false" outlineLevel="0" collapsed="false">
      <c r="A13" s="4" t="s">
        <v>52</v>
      </c>
      <c r="B13" s="4" t="s">
        <v>53</v>
      </c>
      <c r="C13" s="4" t="s">
        <v>28</v>
      </c>
      <c r="D13" s="5" t="n">
        <v>116.09</v>
      </c>
      <c r="E13" s="5" t="n">
        <v>237.1</v>
      </c>
      <c r="F13" s="6" t="n">
        <f aca="false">(E13-D13)/E13</f>
        <v>0.510375369042598</v>
      </c>
    </row>
    <row r="14" customFormat="false" ht="15" hidden="false" customHeight="false" outlineLevel="0" collapsed="false">
      <c r="A14" s="4" t="s">
        <v>54</v>
      </c>
      <c r="B14" s="4" t="s">
        <v>55</v>
      </c>
      <c r="C14" s="4" t="s">
        <v>28</v>
      </c>
      <c r="D14" s="5" t="n">
        <v>56.33</v>
      </c>
      <c r="E14" s="5" t="n">
        <v>84.7</v>
      </c>
      <c r="F14" s="6" t="n">
        <f aca="false">(E14-D14)/E14</f>
        <v>0.334946871310508</v>
      </c>
    </row>
    <row r="15" customFormat="false" ht="15" hidden="false" customHeight="false" outlineLevel="0" collapsed="false">
      <c r="A15" s="4" t="s">
        <v>56</v>
      </c>
      <c r="B15" s="4" t="s">
        <v>57</v>
      </c>
      <c r="C15" s="4" t="s">
        <v>34</v>
      </c>
      <c r="D15" s="5" t="n">
        <v>135.86</v>
      </c>
      <c r="E15" s="5" t="n">
        <v>201.42</v>
      </c>
      <c r="F15" s="6" t="n">
        <f aca="false">(E15-D15)/E15</f>
        <v>0.325489027901896</v>
      </c>
    </row>
    <row r="16" customFormat="false" ht="15" hidden="false" customHeight="false" outlineLevel="0" collapsed="false">
      <c r="A16" s="4" t="s">
        <v>58</v>
      </c>
      <c r="B16" s="4" t="s">
        <v>59</v>
      </c>
      <c r="C16" s="4" t="s">
        <v>28</v>
      </c>
      <c r="D16" s="5" t="n">
        <v>247.43</v>
      </c>
      <c r="E16" s="5" t="n">
        <v>459.72</v>
      </c>
      <c r="F16" s="6" t="n">
        <f aca="false">(E16-D16)/E16</f>
        <v>0.461781084138171</v>
      </c>
    </row>
    <row r="17" customFormat="false" ht="15" hidden="false" customHeight="false" outlineLevel="0" collapsed="false">
      <c r="A17" s="4" t="s">
        <v>60</v>
      </c>
      <c r="B17" s="4" t="s">
        <v>61</v>
      </c>
      <c r="C17" s="4" t="s">
        <v>28</v>
      </c>
      <c r="D17" s="5" t="n">
        <v>211.5</v>
      </c>
      <c r="E17" s="5" t="n">
        <v>420.29</v>
      </c>
      <c r="F17" s="6" t="n">
        <f aca="false">(E17-D17)/E17</f>
        <v>0.496776035594471</v>
      </c>
    </row>
    <row r="18" customFormat="false" ht="15" hidden="false" customHeight="false" outlineLevel="0" collapsed="false">
      <c r="A18" s="4" t="s">
        <v>62</v>
      </c>
      <c r="B18" s="4" t="s">
        <v>63</v>
      </c>
      <c r="C18" s="4" t="s">
        <v>39</v>
      </c>
      <c r="D18" s="5" t="n">
        <v>202.24</v>
      </c>
      <c r="E18" s="5" t="n">
        <v>329.87</v>
      </c>
      <c r="F18" s="6" t="n">
        <f aca="false">(E18-D18)/E18</f>
        <v>0.386909994846455</v>
      </c>
    </row>
    <row r="19" customFormat="false" ht="15" hidden="false" customHeight="false" outlineLevel="0" collapsed="false">
      <c r="A19" s="4" t="s">
        <v>64</v>
      </c>
      <c r="B19" s="4" t="s">
        <v>65</v>
      </c>
      <c r="C19" s="4" t="s">
        <v>31</v>
      </c>
      <c r="D19" s="5" t="n">
        <v>219.71</v>
      </c>
      <c r="E19" s="5" t="n">
        <v>340.32</v>
      </c>
      <c r="F19" s="6" t="n">
        <f aca="false">(E19-D19)/E19</f>
        <v>0.354401739539257</v>
      </c>
    </row>
    <row r="20" customFormat="false" ht="15" hidden="false" customHeight="false" outlineLevel="0" collapsed="false">
      <c r="A20" s="4" t="s">
        <v>66</v>
      </c>
      <c r="B20" s="4" t="s">
        <v>59</v>
      </c>
      <c r="C20" s="4" t="s">
        <v>48</v>
      </c>
      <c r="D20" s="5" t="n">
        <v>40</v>
      </c>
      <c r="E20" s="5" t="n">
        <v>55.31</v>
      </c>
      <c r="F20" s="6" t="n">
        <f aca="false">(E20-D20)/E20</f>
        <v>0.276803471343338</v>
      </c>
    </row>
    <row r="21" customFormat="false" ht="15" hidden="false" customHeight="false" outlineLevel="0" collapsed="false">
      <c r="A21" s="4" t="s">
        <v>67</v>
      </c>
      <c r="B21" s="4" t="s">
        <v>68</v>
      </c>
      <c r="C21" s="4" t="s">
        <v>31</v>
      </c>
      <c r="D21" s="5" t="n">
        <v>109.97</v>
      </c>
      <c r="E21" s="5" t="n">
        <v>198.43</v>
      </c>
      <c r="F21" s="6" t="n">
        <f aca="false">(E21-D21)/E21</f>
        <v>0.445799526281308</v>
      </c>
    </row>
    <row r="22" customFormat="false" ht="15" hidden="false" customHeight="false" outlineLevel="0" collapsed="false">
      <c r="A22" s="4" t="s">
        <v>69</v>
      </c>
      <c r="B22" s="4" t="s">
        <v>70</v>
      </c>
      <c r="C22" s="4" t="s">
        <v>34</v>
      </c>
      <c r="D22" s="5" t="n">
        <v>129.83</v>
      </c>
      <c r="E22" s="5" t="n">
        <v>173.5</v>
      </c>
      <c r="F22" s="6" t="n">
        <f aca="false">(E22-D22)/E22</f>
        <v>0.251700288184438</v>
      </c>
    </row>
    <row r="23" customFormat="false" ht="15" hidden="false" customHeight="false" outlineLevel="0" collapsed="false">
      <c r="A23" s="4" t="s">
        <v>71</v>
      </c>
      <c r="B23" s="4" t="s">
        <v>72</v>
      </c>
      <c r="C23" s="4" t="s">
        <v>39</v>
      </c>
      <c r="D23" s="5" t="n">
        <v>42.45</v>
      </c>
      <c r="E23" s="5" t="n">
        <v>59.51</v>
      </c>
      <c r="F23" s="6" t="n">
        <f aca="false">(E23-D23)/E23</f>
        <v>0.286674508485969</v>
      </c>
    </row>
    <row r="24" customFormat="false" ht="15" hidden="false" customHeight="false" outlineLevel="0" collapsed="false">
      <c r="A24" s="4" t="s">
        <v>73</v>
      </c>
      <c r="B24" s="4" t="s">
        <v>74</v>
      </c>
      <c r="C24" s="4" t="s">
        <v>39</v>
      </c>
      <c r="D24" s="5" t="n">
        <v>99.27</v>
      </c>
      <c r="E24" s="5" t="n">
        <v>180.28</v>
      </c>
      <c r="F24" s="6" t="n">
        <f aca="false">(E24-D24)/E24</f>
        <v>0.449356556467717</v>
      </c>
    </row>
    <row r="25" customFormat="false" ht="15" hidden="false" customHeight="false" outlineLevel="0" collapsed="false">
      <c r="A25" s="4" t="s">
        <v>75</v>
      </c>
      <c r="B25" s="4" t="s">
        <v>76</v>
      </c>
      <c r="C25" s="4" t="s">
        <v>28</v>
      </c>
      <c r="D25" s="5" t="n">
        <v>242.91</v>
      </c>
      <c r="E25" s="5" t="n">
        <v>502.27</v>
      </c>
      <c r="F25" s="6" t="n">
        <f aca="false">(E25-D25)/E25</f>
        <v>0.516375654528441</v>
      </c>
    </row>
    <row r="26" customFormat="false" ht="15" hidden="false" customHeight="false" outlineLevel="0" collapsed="false">
      <c r="A26" s="4" t="s">
        <v>77</v>
      </c>
      <c r="B26" s="4" t="s">
        <v>78</v>
      </c>
      <c r="C26" s="4" t="s">
        <v>39</v>
      </c>
      <c r="D26" s="5" t="n">
        <v>172.02</v>
      </c>
      <c r="E26" s="5" t="n">
        <v>302.78</v>
      </c>
      <c r="F26" s="6" t="n">
        <f aca="false">(E26-D26)/E26</f>
        <v>0.431864720258934</v>
      </c>
    </row>
    <row r="27" customFormat="false" ht="15" hidden="false" customHeight="false" outlineLevel="0" collapsed="false">
      <c r="A27" s="4" t="s">
        <v>79</v>
      </c>
      <c r="B27" s="4" t="s">
        <v>38</v>
      </c>
      <c r="C27" s="4" t="s">
        <v>28</v>
      </c>
      <c r="D27" s="5" t="n">
        <v>32.33</v>
      </c>
      <c r="E27" s="5" t="n">
        <v>53.77</v>
      </c>
      <c r="F27" s="6" t="n">
        <f aca="false">(E27-D27)/E27</f>
        <v>0.398735354286777</v>
      </c>
    </row>
    <row r="28" customFormat="false" ht="15" hidden="false" customHeight="false" outlineLevel="0" collapsed="false">
      <c r="A28" s="4" t="s">
        <v>80</v>
      </c>
      <c r="B28" s="4" t="s">
        <v>81</v>
      </c>
      <c r="C28" s="4" t="s">
        <v>28</v>
      </c>
      <c r="D28" s="5" t="n">
        <v>243.11</v>
      </c>
      <c r="E28" s="5" t="n">
        <v>479.87</v>
      </c>
      <c r="F28" s="6" t="n">
        <f aca="false">(E28-D28)/E28</f>
        <v>0.493383624731698</v>
      </c>
    </row>
    <row r="29" customFormat="false" ht="15" hidden="false" customHeight="false" outlineLevel="0" collapsed="false">
      <c r="A29" s="4" t="s">
        <v>82</v>
      </c>
      <c r="B29" s="4" t="s">
        <v>83</v>
      </c>
      <c r="C29" s="4" t="s">
        <v>28</v>
      </c>
      <c r="D29" s="5" t="n">
        <v>211.21</v>
      </c>
      <c r="E29" s="5" t="n">
        <v>365.87</v>
      </c>
      <c r="F29" s="6" t="n">
        <f aca="false">(E29-D29)/E29</f>
        <v>0.422718451909148</v>
      </c>
    </row>
    <row r="30" customFormat="false" ht="15" hidden="false" customHeight="false" outlineLevel="0" collapsed="false">
      <c r="A30" s="4" t="s">
        <v>84</v>
      </c>
      <c r="B30" s="4" t="s">
        <v>85</v>
      </c>
      <c r="C30" s="4" t="s">
        <v>28</v>
      </c>
      <c r="D30" s="5" t="n">
        <v>191.82</v>
      </c>
      <c r="E30" s="5" t="n">
        <v>338.07</v>
      </c>
      <c r="F30" s="6" t="n">
        <f aca="false">(E30-D30)/E30</f>
        <v>0.432602715413968</v>
      </c>
    </row>
    <row r="31" customFormat="false" ht="15" hidden="false" customHeight="false" outlineLevel="0" collapsed="false">
      <c r="A31" s="4" t="s">
        <v>86</v>
      </c>
      <c r="B31" s="4" t="s">
        <v>87</v>
      </c>
      <c r="C31" s="4" t="s">
        <v>28</v>
      </c>
      <c r="D31" s="5" t="n">
        <v>124.71</v>
      </c>
      <c r="E31" s="5" t="n">
        <v>169.14</v>
      </c>
      <c r="F31" s="6" t="n">
        <f aca="false">(E31-D31)/E31</f>
        <v>0.262681802057467</v>
      </c>
    </row>
    <row r="32" customFormat="false" ht="15" hidden="false" customHeight="false" outlineLevel="0" collapsed="false">
      <c r="A32" s="4" t="s">
        <v>88</v>
      </c>
      <c r="B32" s="4" t="s">
        <v>89</v>
      </c>
      <c r="C32" s="4" t="s">
        <v>28</v>
      </c>
      <c r="D32" s="5" t="n">
        <v>63.67</v>
      </c>
      <c r="E32" s="5" t="n">
        <v>94.16</v>
      </c>
      <c r="F32" s="6" t="n">
        <f aca="false">(E32-D32)/E32</f>
        <v>0.323810535259133</v>
      </c>
    </row>
    <row r="33" customFormat="false" ht="15" hidden="false" customHeight="false" outlineLevel="0" collapsed="false">
      <c r="A33" s="4" t="s">
        <v>90</v>
      </c>
      <c r="B33" s="4" t="s">
        <v>91</v>
      </c>
      <c r="C33" s="4" t="s">
        <v>48</v>
      </c>
      <c r="D33" s="5" t="n">
        <v>204.93</v>
      </c>
      <c r="E33" s="5" t="n">
        <v>446.56</v>
      </c>
      <c r="F33" s="6" t="n">
        <f aca="false">(E33-D33)/E33</f>
        <v>0.541091902543891</v>
      </c>
    </row>
    <row r="34" customFormat="false" ht="15" hidden="false" customHeight="false" outlineLevel="0" collapsed="false">
      <c r="A34" s="4" t="s">
        <v>92</v>
      </c>
      <c r="B34" s="4" t="s">
        <v>93</v>
      </c>
      <c r="C34" s="4" t="s">
        <v>48</v>
      </c>
      <c r="D34" s="5" t="n">
        <v>236.98</v>
      </c>
      <c r="E34" s="5" t="n">
        <v>333.4</v>
      </c>
      <c r="F34" s="6" t="n">
        <f aca="false">(E34-D34)/E34</f>
        <v>0.289202159568086</v>
      </c>
    </row>
    <row r="35" customFormat="false" ht="15" hidden="false" customHeight="false" outlineLevel="0" collapsed="false">
      <c r="A35" s="4" t="s">
        <v>94</v>
      </c>
      <c r="B35" s="4" t="s">
        <v>95</v>
      </c>
      <c r="C35" s="4" t="s">
        <v>31</v>
      </c>
      <c r="D35" s="5" t="n">
        <v>190.04</v>
      </c>
      <c r="E35" s="5" t="n">
        <v>362.1</v>
      </c>
      <c r="F35" s="6" t="n">
        <f aca="false">(E35-D35)/E35</f>
        <v>0.475172604252969</v>
      </c>
    </row>
    <row r="36" customFormat="false" ht="15" hidden="false" customHeight="false" outlineLevel="0" collapsed="false">
      <c r="A36" s="4" t="s">
        <v>96</v>
      </c>
      <c r="B36" s="4" t="s">
        <v>97</v>
      </c>
      <c r="C36" s="4" t="s">
        <v>28</v>
      </c>
      <c r="D36" s="5" t="n">
        <v>112.33</v>
      </c>
      <c r="E36" s="5" t="n">
        <v>195.64</v>
      </c>
      <c r="F36" s="6" t="n">
        <f aca="false">(E36-D36)/E36</f>
        <v>0.425833162952361</v>
      </c>
    </row>
    <row r="37" customFormat="false" ht="15" hidden="false" customHeight="false" outlineLevel="0" collapsed="false">
      <c r="A37" s="4" t="s">
        <v>98</v>
      </c>
      <c r="B37" s="4" t="s">
        <v>65</v>
      </c>
      <c r="C37" s="4" t="s">
        <v>34</v>
      </c>
      <c r="D37" s="5" t="n">
        <v>20.69</v>
      </c>
      <c r="E37" s="5" t="n">
        <v>26.28</v>
      </c>
      <c r="F37" s="6" t="n">
        <f aca="false">(E37-D37)/E37</f>
        <v>0.212709284627093</v>
      </c>
    </row>
    <row r="38" customFormat="false" ht="15" hidden="false" customHeight="false" outlineLevel="0" collapsed="false">
      <c r="A38" s="4" t="s">
        <v>99</v>
      </c>
      <c r="B38" s="4" t="s">
        <v>100</v>
      </c>
      <c r="C38" s="4" t="s">
        <v>34</v>
      </c>
      <c r="D38" s="5" t="n">
        <v>6.76</v>
      </c>
      <c r="E38" s="5" t="n">
        <v>13</v>
      </c>
      <c r="F38" s="6" t="n">
        <f aca="false">(E38-D38)/E38</f>
        <v>0.48</v>
      </c>
    </row>
    <row r="39" customFormat="false" ht="15" hidden="false" customHeight="false" outlineLevel="0" collapsed="false">
      <c r="A39" s="4" t="s">
        <v>101</v>
      </c>
      <c r="B39" s="4" t="s">
        <v>102</v>
      </c>
      <c r="C39" s="4" t="s">
        <v>39</v>
      </c>
      <c r="D39" s="5" t="n">
        <v>226.83</v>
      </c>
      <c r="E39" s="5" t="n">
        <v>468.78</v>
      </c>
      <c r="F39" s="6" t="n">
        <f aca="false">(E39-D39)/E39</f>
        <v>0.516126967874056</v>
      </c>
    </row>
    <row r="40" customFormat="false" ht="15" hidden="false" customHeight="false" outlineLevel="0" collapsed="false">
      <c r="A40" s="4" t="s">
        <v>103</v>
      </c>
      <c r="B40" s="4" t="s">
        <v>104</v>
      </c>
      <c r="C40" s="4" t="s">
        <v>34</v>
      </c>
      <c r="D40" s="5" t="n">
        <v>73.23</v>
      </c>
      <c r="E40" s="5" t="n">
        <v>125.31</v>
      </c>
      <c r="F40" s="6" t="n">
        <f aca="false">(E40-D40)/E40</f>
        <v>0.415609288963371</v>
      </c>
    </row>
    <row r="41" customFormat="false" ht="15" hidden="false" customHeight="false" outlineLevel="0" collapsed="false">
      <c r="A41" s="4" t="s">
        <v>105</v>
      </c>
      <c r="B41" s="4" t="s">
        <v>106</v>
      </c>
      <c r="C41" s="4" t="s">
        <v>31</v>
      </c>
      <c r="D41" s="5" t="n">
        <v>146.17</v>
      </c>
      <c r="E41" s="5" t="n">
        <v>216.46</v>
      </c>
      <c r="F41" s="6" t="n">
        <f aca="false">(E41-D41)/E41</f>
        <v>0.324725122424467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</row>
    <row r="2" customFormat="false" ht="15" hidden="false" customHeight="false" outlineLevel="0" collapsed="false">
      <c r="A2" s="4" t="s">
        <v>112</v>
      </c>
      <c r="B2" s="4" t="s">
        <v>113</v>
      </c>
      <c r="C2" s="7" t="n">
        <v>0.0825</v>
      </c>
      <c r="D2" s="6" t="n">
        <v>0.05</v>
      </c>
      <c r="E2" s="4" t="n">
        <v>10</v>
      </c>
    </row>
    <row r="3" customFormat="false" ht="15" hidden="false" customHeight="false" outlineLevel="0" collapsed="false">
      <c r="A3" s="4" t="s">
        <v>114</v>
      </c>
      <c r="B3" s="4" t="s">
        <v>115</v>
      </c>
      <c r="C3" s="7" t="n">
        <v>0.07</v>
      </c>
      <c r="D3" s="6" t="n">
        <v>0.04</v>
      </c>
      <c r="E3" s="4" t="n">
        <v>12</v>
      </c>
    </row>
    <row r="4" customFormat="false" ht="15" hidden="false" customHeight="false" outlineLevel="0" collapsed="false">
      <c r="A4" s="4" t="s">
        <v>116</v>
      </c>
      <c r="B4" s="4" t="s">
        <v>117</v>
      </c>
      <c r="C4" s="7" t="n">
        <v>0.0625</v>
      </c>
      <c r="D4" s="6" t="n">
        <v>0.03</v>
      </c>
      <c r="E4" s="4" t="n">
        <v>15</v>
      </c>
    </row>
    <row r="5" customFormat="false" ht="15" hidden="false" customHeight="false" outlineLevel="0" collapsed="false">
      <c r="A5" s="4" t="s">
        <v>118</v>
      </c>
      <c r="B5" s="4" t="s">
        <v>119</v>
      </c>
      <c r="C5" s="7" t="n">
        <v>0.08</v>
      </c>
      <c r="D5" s="6" t="n">
        <v>0.05</v>
      </c>
      <c r="E5" s="4" t="n">
        <v>10</v>
      </c>
    </row>
    <row r="6" customFormat="false" ht="15" hidden="false" customHeight="false" outlineLevel="0" collapsed="false">
      <c r="A6" s="4" t="s">
        <v>120</v>
      </c>
      <c r="B6" s="4" t="s">
        <v>121</v>
      </c>
      <c r="C6" s="7" t="n">
        <v>0.0925</v>
      </c>
      <c r="D6" s="6" t="n">
        <v>0.06</v>
      </c>
      <c r="E6" s="4" t="n">
        <v>8</v>
      </c>
    </row>
    <row r="7" customFormat="false" ht="15" hidden="false" customHeight="false" outlineLevel="0" collapsed="false">
      <c r="A7" s="4" t="s">
        <v>122</v>
      </c>
      <c r="B7" s="4" t="s">
        <v>123</v>
      </c>
      <c r="C7" s="7" t="n">
        <v>0.06</v>
      </c>
      <c r="D7" s="6" t="n">
        <v>0.04</v>
      </c>
      <c r="E7" s="4" t="n">
        <v>12</v>
      </c>
    </row>
    <row r="8" customFormat="false" ht="15" hidden="false" customHeight="false" outlineLevel="0" collapsed="false">
      <c r="A8" s="4" t="s">
        <v>124</v>
      </c>
      <c r="B8" s="4" t="s">
        <v>125</v>
      </c>
      <c r="C8" s="7" t="n">
        <v>0.15</v>
      </c>
      <c r="D8" s="6" t="n">
        <v>0.05</v>
      </c>
      <c r="E8" s="4" t="n">
        <v>10</v>
      </c>
    </row>
    <row r="9" customFormat="false" ht="15" hidden="false" customHeight="false" outlineLevel="0" collapsed="false">
      <c r="A9" s="4" t="s">
        <v>126</v>
      </c>
      <c r="B9" s="4" t="s">
        <v>127</v>
      </c>
      <c r="C9" s="7" t="n">
        <v>0.12</v>
      </c>
      <c r="D9" s="6" t="n">
        <v>0.04</v>
      </c>
      <c r="E9" s="4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2" t="s">
        <v>128</v>
      </c>
      <c r="B1" s="2" t="s">
        <v>129</v>
      </c>
      <c r="C1" s="2" t="s">
        <v>107</v>
      </c>
      <c r="D1" s="2" t="s">
        <v>130</v>
      </c>
      <c r="E1" s="2" t="s">
        <v>131</v>
      </c>
    </row>
    <row r="2" customFormat="false" ht="15" hidden="false" customHeight="false" outlineLevel="0" collapsed="false">
      <c r="A2" s="4" t="s">
        <v>132</v>
      </c>
      <c r="B2" s="4" t="s">
        <v>133</v>
      </c>
      <c r="C2" s="4" t="s">
        <v>118</v>
      </c>
      <c r="D2" s="4" t="s">
        <v>134</v>
      </c>
      <c r="E2" s="8" t="n">
        <v>6700</v>
      </c>
    </row>
    <row r="3" customFormat="false" ht="15" hidden="false" customHeight="false" outlineLevel="0" collapsed="false">
      <c r="A3" s="4" t="s">
        <v>135</v>
      </c>
      <c r="B3" s="4" t="s">
        <v>136</v>
      </c>
      <c r="C3" s="4" t="s">
        <v>124</v>
      </c>
      <c r="D3" s="4" t="s">
        <v>137</v>
      </c>
      <c r="E3" s="8" t="n">
        <v>24400</v>
      </c>
    </row>
    <row r="4" customFormat="false" ht="15" hidden="false" customHeight="false" outlineLevel="0" collapsed="false">
      <c r="A4" s="4" t="s">
        <v>138</v>
      </c>
      <c r="B4" s="4" t="s">
        <v>139</v>
      </c>
      <c r="C4" s="4" t="s">
        <v>114</v>
      </c>
      <c r="D4" s="4" t="s">
        <v>134</v>
      </c>
      <c r="E4" s="8" t="n">
        <v>21300</v>
      </c>
    </row>
    <row r="5" customFormat="false" ht="15" hidden="false" customHeight="false" outlineLevel="0" collapsed="false">
      <c r="A5" s="4" t="s">
        <v>140</v>
      </c>
      <c r="B5" s="4" t="s">
        <v>141</v>
      </c>
      <c r="C5" s="4" t="s">
        <v>118</v>
      </c>
      <c r="D5" s="4" t="s">
        <v>134</v>
      </c>
      <c r="E5" s="8" t="n">
        <v>11100</v>
      </c>
    </row>
    <row r="6" customFormat="false" ht="15" hidden="false" customHeight="false" outlineLevel="0" collapsed="false">
      <c r="A6" s="4" t="s">
        <v>142</v>
      </c>
      <c r="B6" s="4" t="s">
        <v>143</v>
      </c>
      <c r="C6" s="4" t="s">
        <v>124</v>
      </c>
      <c r="D6" s="4" t="s">
        <v>134</v>
      </c>
      <c r="E6" s="8" t="n">
        <v>15400</v>
      </c>
    </row>
    <row r="7" customFormat="false" ht="15" hidden="false" customHeight="false" outlineLevel="0" collapsed="false">
      <c r="A7" s="4" t="s">
        <v>144</v>
      </c>
      <c r="B7" s="4" t="s">
        <v>145</v>
      </c>
      <c r="C7" s="4" t="s">
        <v>126</v>
      </c>
      <c r="D7" s="4" t="s">
        <v>146</v>
      </c>
      <c r="E7" s="8" t="n">
        <v>6700</v>
      </c>
    </row>
    <row r="8" customFormat="false" ht="15" hidden="false" customHeight="false" outlineLevel="0" collapsed="false">
      <c r="A8" s="4" t="s">
        <v>147</v>
      </c>
      <c r="B8" s="4" t="s">
        <v>148</v>
      </c>
      <c r="C8" s="4" t="s">
        <v>112</v>
      </c>
      <c r="D8" s="4" t="s">
        <v>134</v>
      </c>
      <c r="E8" s="8" t="n">
        <v>46500</v>
      </c>
    </row>
    <row r="9" customFormat="false" ht="15" hidden="false" customHeight="false" outlineLevel="0" collapsed="false">
      <c r="A9" s="4" t="s">
        <v>149</v>
      </c>
      <c r="B9" s="4" t="s">
        <v>150</v>
      </c>
      <c r="C9" s="4" t="s">
        <v>124</v>
      </c>
      <c r="D9" s="4" t="s">
        <v>137</v>
      </c>
      <c r="E9" s="8" t="n">
        <v>25100</v>
      </c>
    </row>
    <row r="10" customFormat="false" ht="15" hidden="false" customHeight="false" outlineLevel="0" collapsed="false">
      <c r="A10" s="4" t="s">
        <v>151</v>
      </c>
      <c r="B10" s="4" t="s">
        <v>152</v>
      </c>
      <c r="C10" s="4" t="s">
        <v>116</v>
      </c>
      <c r="D10" s="4" t="s">
        <v>137</v>
      </c>
      <c r="E10" s="8" t="n">
        <v>2100</v>
      </c>
    </row>
    <row r="11" customFormat="false" ht="15" hidden="false" customHeight="false" outlineLevel="0" collapsed="false">
      <c r="A11" s="4" t="s">
        <v>153</v>
      </c>
      <c r="B11" s="4" t="s">
        <v>154</v>
      </c>
      <c r="C11" s="4" t="s">
        <v>126</v>
      </c>
      <c r="D11" s="4" t="s">
        <v>137</v>
      </c>
      <c r="E11" s="8" t="n">
        <v>22300</v>
      </c>
    </row>
    <row r="12" customFormat="false" ht="15" hidden="false" customHeight="false" outlineLevel="0" collapsed="false">
      <c r="A12" s="4" t="s">
        <v>155</v>
      </c>
      <c r="B12" s="4" t="s">
        <v>156</v>
      </c>
      <c r="C12" s="4" t="s">
        <v>126</v>
      </c>
      <c r="D12" s="4" t="s">
        <v>134</v>
      </c>
      <c r="E12" s="8" t="n">
        <v>11100</v>
      </c>
    </row>
    <row r="13" customFormat="false" ht="15" hidden="false" customHeight="false" outlineLevel="0" collapsed="false">
      <c r="A13" s="4" t="s">
        <v>157</v>
      </c>
      <c r="B13" s="4" t="s">
        <v>158</v>
      </c>
      <c r="C13" s="4" t="s">
        <v>112</v>
      </c>
      <c r="D13" s="4" t="s">
        <v>146</v>
      </c>
      <c r="E13" s="8" t="n">
        <v>17100</v>
      </c>
    </row>
    <row r="14" customFormat="false" ht="15" hidden="false" customHeight="false" outlineLevel="0" collapsed="false">
      <c r="A14" s="4" t="s">
        <v>159</v>
      </c>
      <c r="B14" s="4" t="s">
        <v>160</v>
      </c>
      <c r="C14" s="4" t="s">
        <v>126</v>
      </c>
      <c r="D14" s="4" t="s">
        <v>146</v>
      </c>
      <c r="E14" s="8" t="n">
        <v>46100</v>
      </c>
    </row>
    <row r="15" customFormat="false" ht="15" hidden="false" customHeight="false" outlineLevel="0" collapsed="false">
      <c r="A15" s="4" t="s">
        <v>161</v>
      </c>
      <c r="B15" s="4" t="s">
        <v>162</v>
      </c>
      <c r="C15" s="4" t="s">
        <v>112</v>
      </c>
      <c r="D15" s="4" t="s">
        <v>146</v>
      </c>
      <c r="E15" s="8" t="n">
        <v>5800</v>
      </c>
    </row>
    <row r="16" customFormat="false" ht="15" hidden="false" customHeight="false" outlineLevel="0" collapsed="false">
      <c r="A16" s="4" t="s">
        <v>163</v>
      </c>
      <c r="B16" s="4" t="s">
        <v>164</v>
      </c>
      <c r="C16" s="4" t="s">
        <v>114</v>
      </c>
      <c r="D16" s="4" t="s">
        <v>146</v>
      </c>
      <c r="E16" s="8" t="n">
        <v>43400</v>
      </c>
    </row>
    <row r="17" customFormat="false" ht="15" hidden="false" customHeight="false" outlineLevel="0" collapsed="false">
      <c r="A17" s="4" t="s">
        <v>165</v>
      </c>
      <c r="B17" s="4" t="s">
        <v>166</v>
      </c>
      <c r="C17" s="4" t="s">
        <v>118</v>
      </c>
      <c r="D17" s="4" t="s">
        <v>146</v>
      </c>
      <c r="E17" s="8" t="n">
        <v>30500</v>
      </c>
    </row>
    <row r="18" customFormat="false" ht="15" hidden="false" customHeight="false" outlineLevel="0" collapsed="false">
      <c r="A18" s="4" t="s">
        <v>167</v>
      </c>
      <c r="B18" s="4" t="s">
        <v>168</v>
      </c>
      <c r="C18" s="4" t="s">
        <v>124</v>
      </c>
      <c r="D18" s="4" t="s">
        <v>146</v>
      </c>
      <c r="E18" s="8" t="n">
        <v>30000</v>
      </c>
    </row>
    <row r="19" customFormat="false" ht="15" hidden="false" customHeight="false" outlineLevel="0" collapsed="false">
      <c r="A19" s="4" t="s">
        <v>169</v>
      </c>
      <c r="B19" s="4" t="s">
        <v>170</v>
      </c>
      <c r="C19" s="4" t="s">
        <v>120</v>
      </c>
      <c r="D19" s="4" t="s">
        <v>134</v>
      </c>
      <c r="E19" s="8" t="n">
        <v>34100</v>
      </c>
    </row>
    <row r="20" customFormat="false" ht="15" hidden="false" customHeight="false" outlineLevel="0" collapsed="false">
      <c r="A20" s="4" t="s">
        <v>171</v>
      </c>
      <c r="B20" s="4" t="s">
        <v>172</v>
      </c>
      <c r="C20" s="4" t="s">
        <v>120</v>
      </c>
      <c r="D20" s="4" t="s">
        <v>137</v>
      </c>
      <c r="E20" s="8" t="n">
        <v>8300</v>
      </c>
    </row>
    <row r="21" customFormat="false" ht="15" hidden="false" customHeight="false" outlineLevel="0" collapsed="false">
      <c r="A21" s="4" t="s">
        <v>173</v>
      </c>
      <c r="B21" s="4" t="s">
        <v>174</v>
      </c>
      <c r="C21" s="4" t="s">
        <v>126</v>
      </c>
      <c r="D21" s="4" t="s">
        <v>137</v>
      </c>
      <c r="E21" s="8" t="n">
        <v>46600</v>
      </c>
    </row>
    <row r="22" customFormat="false" ht="15" hidden="false" customHeight="false" outlineLevel="0" collapsed="false">
      <c r="A22" s="4" t="s">
        <v>175</v>
      </c>
      <c r="B22" s="4" t="s">
        <v>176</v>
      </c>
      <c r="C22" s="4" t="s">
        <v>126</v>
      </c>
      <c r="D22" s="4" t="s">
        <v>146</v>
      </c>
      <c r="E22" s="8" t="n">
        <v>49900</v>
      </c>
    </row>
    <row r="23" customFormat="false" ht="15" hidden="false" customHeight="false" outlineLevel="0" collapsed="false">
      <c r="A23" s="4" t="s">
        <v>177</v>
      </c>
      <c r="B23" s="4" t="s">
        <v>178</v>
      </c>
      <c r="C23" s="4" t="s">
        <v>118</v>
      </c>
      <c r="D23" s="4" t="s">
        <v>146</v>
      </c>
      <c r="E23" s="8" t="n">
        <v>14700</v>
      </c>
    </row>
    <row r="24" customFormat="false" ht="15" hidden="false" customHeight="false" outlineLevel="0" collapsed="false">
      <c r="A24" s="4" t="s">
        <v>179</v>
      </c>
      <c r="B24" s="4" t="s">
        <v>141</v>
      </c>
      <c r="C24" s="4" t="s">
        <v>118</v>
      </c>
      <c r="D24" s="4" t="s">
        <v>137</v>
      </c>
      <c r="E24" s="8" t="n">
        <v>15700</v>
      </c>
    </row>
    <row r="25" customFormat="false" ht="15" hidden="false" customHeight="false" outlineLevel="0" collapsed="false">
      <c r="A25" s="4" t="s">
        <v>180</v>
      </c>
      <c r="B25" s="4" t="s">
        <v>181</v>
      </c>
      <c r="C25" s="4" t="s">
        <v>120</v>
      </c>
      <c r="D25" s="4" t="s">
        <v>146</v>
      </c>
      <c r="E25" s="8" t="n">
        <v>49200</v>
      </c>
    </row>
    <row r="26" customFormat="false" ht="15" hidden="false" customHeight="false" outlineLevel="0" collapsed="false">
      <c r="A26" s="4" t="s">
        <v>182</v>
      </c>
      <c r="B26" s="4" t="s">
        <v>148</v>
      </c>
      <c r="C26" s="4" t="s">
        <v>112</v>
      </c>
      <c r="D26" s="4" t="s">
        <v>146</v>
      </c>
      <c r="E26" s="8" t="n">
        <v>41200</v>
      </c>
    </row>
    <row r="27" customFormat="false" ht="15" hidden="false" customHeight="false" outlineLevel="0" collapsed="false">
      <c r="A27" s="4" t="s">
        <v>183</v>
      </c>
      <c r="B27" s="4" t="s">
        <v>184</v>
      </c>
      <c r="C27" s="4" t="s">
        <v>116</v>
      </c>
      <c r="D27" s="4" t="s">
        <v>137</v>
      </c>
      <c r="E27" s="8" t="n">
        <v>7500</v>
      </c>
    </row>
    <row r="28" customFormat="false" ht="15" hidden="false" customHeight="false" outlineLevel="0" collapsed="false">
      <c r="A28" s="4" t="s">
        <v>185</v>
      </c>
      <c r="B28" s="4" t="s">
        <v>186</v>
      </c>
      <c r="C28" s="4" t="s">
        <v>116</v>
      </c>
      <c r="D28" s="4" t="s">
        <v>137</v>
      </c>
      <c r="E28" s="8" t="n">
        <v>15500</v>
      </c>
    </row>
    <row r="29" customFormat="false" ht="15" hidden="false" customHeight="false" outlineLevel="0" collapsed="false">
      <c r="A29" s="4" t="s">
        <v>187</v>
      </c>
      <c r="B29" s="4" t="s">
        <v>188</v>
      </c>
      <c r="C29" s="4" t="s">
        <v>118</v>
      </c>
      <c r="D29" s="4" t="s">
        <v>146</v>
      </c>
      <c r="E29" s="8" t="n">
        <v>32400</v>
      </c>
    </row>
    <row r="30" customFormat="false" ht="15" hidden="false" customHeight="false" outlineLevel="0" collapsed="false">
      <c r="A30" s="4" t="s">
        <v>189</v>
      </c>
      <c r="B30" s="4" t="s">
        <v>190</v>
      </c>
      <c r="C30" s="4" t="s">
        <v>126</v>
      </c>
      <c r="D30" s="4" t="s">
        <v>137</v>
      </c>
      <c r="E30" s="8" t="n">
        <v>45500</v>
      </c>
    </row>
    <row r="31" customFormat="false" ht="15" hidden="false" customHeight="false" outlineLevel="0" collapsed="false">
      <c r="A31" s="4" t="s">
        <v>191</v>
      </c>
      <c r="B31" s="4" t="s">
        <v>192</v>
      </c>
      <c r="C31" s="4" t="s">
        <v>124</v>
      </c>
      <c r="D31" s="4" t="s">
        <v>137</v>
      </c>
      <c r="E31" s="8" t="n">
        <v>4100</v>
      </c>
    </row>
    <row r="32" customFormat="false" ht="15" hidden="false" customHeight="false" outlineLevel="0" collapsed="false">
      <c r="A32" s="4" t="s">
        <v>193</v>
      </c>
      <c r="B32" s="4" t="s">
        <v>194</v>
      </c>
      <c r="C32" s="4" t="s">
        <v>120</v>
      </c>
      <c r="D32" s="4" t="s">
        <v>134</v>
      </c>
      <c r="E32" s="8" t="n">
        <v>37600</v>
      </c>
    </row>
    <row r="33" customFormat="false" ht="15" hidden="false" customHeight="false" outlineLevel="0" collapsed="false">
      <c r="A33" s="4" t="s">
        <v>195</v>
      </c>
      <c r="B33" s="4" t="s">
        <v>196</v>
      </c>
      <c r="C33" s="4" t="s">
        <v>112</v>
      </c>
      <c r="D33" s="4" t="s">
        <v>134</v>
      </c>
      <c r="E33" s="8" t="n">
        <v>5600</v>
      </c>
    </row>
    <row r="34" customFormat="false" ht="15" hidden="false" customHeight="false" outlineLevel="0" collapsed="false">
      <c r="A34" s="4" t="s">
        <v>197</v>
      </c>
      <c r="B34" s="4" t="s">
        <v>198</v>
      </c>
      <c r="C34" s="4" t="s">
        <v>112</v>
      </c>
      <c r="D34" s="4" t="s">
        <v>137</v>
      </c>
      <c r="E34" s="8" t="n">
        <v>30000</v>
      </c>
    </row>
    <row r="35" customFormat="false" ht="15" hidden="false" customHeight="false" outlineLevel="0" collapsed="false">
      <c r="A35" s="4" t="s">
        <v>199</v>
      </c>
      <c r="B35" s="4" t="s">
        <v>200</v>
      </c>
      <c r="C35" s="4" t="s">
        <v>116</v>
      </c>
      <c r="D35" s="4" t="s">
        <v>134</v>
      </c>
      <c r="E35" s="8" t="n">
        <v>16800</v>
      </c>
    </row>
    <row r="36" customFormat="false" ht="15" hidden="false" customHeight="false" outlineLevel="0" collapsed="false">
      <c r="A36" s="4" t="s">
        <v>201</v>
      </c>
      <c r="B36" s="4" t="s">
        <v>202</v>
      </c>
      <c r="C36" s="4" t="s">
        <v>118</v>
      </c>
      <c r="D36" s="4" t="s">
        <v>146</v>
      </c>
      <c r="E36" s="8" t="n">
        <v>14000</v>
      </c>
    </row>
    <row r="37" customFormat="false" ht="15" hidden="false" customHeight="false" outlineLevel="0" collapsed="false">
      <c r="A37" s="4" t="s">
        <v>203</v>
      </c>
      <c r="B37" s="4" t="s">
        <v>204</v>
      </c>
      <c r="C37" s="4" t="s">
        <v>124</v>
      </c>
      <c r="D37" s="4" t="s">
        <v>146</v>
      </c>
      <c r="E37" s="8" t="n">
        <v>38000</v>
      </c>
    </row>
    <row r="38" customFormat="false" ht="15" hidden="false" customHeight="false" outlineLevel="0" collapsed="false">
      <c r="A38" s="4" t="s">
        <v>205</v>
      </c>
      <c r="B38" s="4" t="s">
        <v>150</v>
      </c>
      <c r="C38" s="4" t="s">
        <v>116</v>
      </c>
      <c r="D38" s="4" t="s">
        <v>137</v>
      </c>
      <c r="E38" s="8" t="n">
        <v>3200</v>
      </c>
    </row>
    <row r="39" customFormat="false" ht="15" hidden="false" customHeight="false" outlineLevel="0" collapsed="false">
      <c r="A39" s="4" t="s">
        <v>206</v>
      </c>
      <c r="B39" s="4" t="s">
        <v>207</v>
      </c>
      <c r="C39" s="4" t="s">
        <v>124</v>
      </c>
      <c r="D39" s="4" t="s">
        <v>146</v>
      </c>
      <c r="E39" s="8" t="n">
        <v>43500</v>
      </c>
    </row>
    <row r="40" customFormat="false" ht="15" hidden="false" customHeight="false" outlineLevel="0" collapsed="false">
      <c r="A40" s="4" t="s">
        <v>208</v>
      </c>
      <c r="B40" s="4" t="s">
        <v>209</v>
      </c>
      <c r="C40" s="4" t="s">
        <v>116</v>
      </c>
      <c r="D40" s="4" t="s">
        <v>146</v>
      </c>
      <c r="E40" s="8" t="n">
        <v>7200</v>
      </c>
    </row>
    <row r="41" customFormat="false" ht="15" hidden="false" customHeight="false" outlineLevel="0" collapsed="false">
      <c r="A41" s="4" t="s">
        <v>210</v>
      </c>
      <c r="B41" s="4" t="s">
        <v>211</v>
      </c>
      <c r="C41" s="4" t="s">
        <v>118</v>
      </c>
      <c r="D41" s="4" t="s">
        <v>134</v>
      </c>
      <c r="E41" s="8" t="n">
        <v>41200</v>
      </c>
    </row>
    <row r="42" customFormat="false" ht="15" hidden="false" customHeight="false" outlineLevel="0" collapsed="false">
      <c r="A42" s="4" t="s">
        <v>212</v>
      </c>
      <c r="B42" s="4" t="s">
        <v>213</v>
      </c>
      <c r="C42" s="4" t="s">
        <v>120</v>
      </c>
      <c r="D42" s="4" t="s">
        <v>134</v>
      </c>
      <c r="E42" s="8" t="n">
        <v>12700</v>
      </c>
    </row>
    <row r="43" customFormat="false" ht="15" hidden="false" customHeight="false" outlineLevel="0" collapsed="false">
      <c r="A43" s="4" t="s">
        <v>214</v>
      </c>
      <c r="B43" s="4" t="s">
        <v>215</v>
      </c>
      <c r="C43" s="4" t="s">
        <v>124</v>
      </c>
      <c r="D43" s="4" t="s">
        <v>137</v>
      </c>
      <c r="E43" s="8" t="n">
        <v>15400</v>
      </c>
    </row>
    <row r="44" customFormat="false" ht="15" hidden="false" customHeight="false" outlineLevel="0" collapsed="false">
      <c r="A44" s="4" t="s">
        <v>216</v>
      </c>
      <c r="B44" s="4" t="s">
        <v>217</v>
      </c>
      <c r="C44" s="4" t="s">
        <v>122</v>
      </c>
      <c r="D44" s="4" t="s">
        <v>146</v>
      </c>
      <c r="E44" s="8" t="n">
        <v>26500</v>
      </c>
    </row>
    <row r="45" customFormat="false" ht="15" hidden="false" customHeight="false" outlineLevel="0" collapsed="false">
      <c r="A45" s="4" t="s">
        <v>218</v>
      </c>
      <c r="B45" s="4" t="s">
        <v>148</v>
      </c>
      <c r="C45" s="4" t="s">
        <v>122</v>
      </c>
      <c r="D45" s="4" t="s">
        <v>134</v>
      </c>
      <c r="E45" s="8" t="n">
        <v>7500</v>
      </c>
    </row>
    <row r="46" customFormat="false" ht="15" hidden="false" customHeight="false" outlineLevel="0" collapsed="false">
      <c r="A46" s="4" t="s">
        <v>219</v>
      </c>
      <c r="B46" s="4" t="s">
        <v>220</v>
      </c>
      <c r="C46" s="4" t="s">
        <v>120</v>
      </c>
      <c r="D46" s="4" t="s">
        <v>134</v>
      </c>
      <c r="E46" s="8" t="n">
        <v>7200</v>
      </c>
    </row>
    <row r="47" customFormat="false" ht="15" hidden="false" customHeight="false" outlineLevel="0" collapsed="false">
      <c r="A47" s="4" t="s">
        <v>221</v>
      </c>
      <c r="B47" s="4" t="s">
        <v>136</v>
      </c>
      <c r="C47" s="4" t="s">
        <v>122</v>
      </c>
      <c r="D47" s="4" t="s">
        <v>137</v>
      </c>
      <c r="E47" s="8" t="n">
        <v>31100</v>
      </c>
    </row>
    <row r="48" customFormat="false" ht="15" hidden="false" customHeight="false" outlineLevel="0" collapsed="false">
      <c r="A48" s="4" t="s">
        <v>222</v>
      </c>
      <c r="B48" s="4" t="s">
        <v>223</v>
      </c>
      <c r="C48" s="4" t="s">
        <v>124</v>
      </c>
      <c r="D48" s="4" t="s">
        <v>146</v>
      </c>
      <c r="E48" s="8" t="n">
        <v>11100</v>
      </c>
    </row>
    <row r="49" customFormat="false" ht="15" hidden="false" customHeight="false" outlineLevel="0" collapsed="false">
      <c r="A49" s="4" t="s">
        <v>224</v>
      </c>
      <c r="B49" s="4" t="s">
        <v>225</v>
      </c>
      <c r="C49" s="4" t="s">
        <v>112</v>
      </c>
      <c r="D49" s="4" t="s">
        <v>146</v>
      </c>
      <c r="E49" s="8" t="n">
        <v>46400</v>
      </c>
    </row>
    <row r="50" customFormat="false" ht="15" hidden="false" customHeight="false" outlineLevel="0" collapsed="false">
      <c r="A50" s="4" t="s">
        <v>226</v>
      </c>
      <c r="B50" s="4" t="s">
        <v>227</v>
      </c>
      <c r="C50" s="4" t="s">
        <v>122</v>
      </c>
      <c r="D50" s="4" t="s">
        <v>137</v>
      </c>
      <c r="E50" s="8" t="n">
        <v>5400</v>
      </c>
    </row>
    <row r="51" customFormat="false" ht="15" hidden="false" customHeight="false" outlineLevel="0" collapsed="false">
      <c r="A51" s="4" t="s">
        <v>228</v>
      </c>
      <c r="B51" s="4" t="s">
        <v>229</v>
      </c>
      <c r="C51" s="4" t="s">
        <v>122</v>
      </c>
      <c r="D51" s="4" t="s">
        <v>146</v>
      </c>
      <c r="E51" s="8" t="n">
        <v>42700</v>
      </c>
    </row>
    <row r="52" customFormat="false" ht="15" hidden="false" customHeight="false" outlineLevel="0" collapsed="false">
      <c r="A52" s="4" t="s">
        <v>230</v>
      </c>
      <c r="B52" s="4" t="s">
        <v>231</v>
      </c>
      <c r="C52" s="4" t="s">
        <v>120</v>
      </c>
      <c r="D52" s="4" t="s">
        <v>146</v>
      </c>
      <c r="E52" s="8" t="n">
        <v>21600</v>
      </c>
    </row>
    <row r="53" customFormat="false" ht="15" hidden="false" customHeight="false" outlineLevel="0" collapsed="false">
      <c r="A53" s="4" t="s">
        <v>232</v>
      </c>
      <c r="B53" s="4" t="s">
        <v>154</v>
      </c>
      <c r="C53" s="4" t="s">
        <v>116</v>
      </c>
      <c r="D53" s="4" t="s">
        <v>134</v>
      </c>
      <c r="E53" s="8" t="n">
        <v>22200</v>
      </c>
    </row>
    <row r="54" customFormat="false" ht="15" hidden="false" customHeight="false" outlineLevel="0" collapsed="false">
      <c r="A54" s="4" t="s">
        <v>233</v>
      </c>
      <c r="B54" s="4" t="s">
        <v>234</v>
      </c>
      <c r="C54" s="4" t="s">
        <v>120</v>
      </c>
      <c r="D54" s="4" t="s">
        <v>137</v>
      </c>
      <c r="E54" s="8" t="n">
        <v>28300</v>
      </c>
    </row>
    <row r="55" customFormat="false" ht="15" hidden="false" customHeight="false" outlineLevel="0" collapsed="false">
      <c r="A55" s="4" t="s">
        <v>235</v>
      </c>
      <c r="B55" s="4" t="s">
        <v>236</v>
      </c>
      <c r="C55" s="4" t="s">
        <v>120</v>
      </c>
      <c r="D55" s="4" t="s">
        <v>134</v>
      </c>
      <c r="E55" s="8" t="n">
        <v>22600</v>
      </c>
    </row>
    <row r="56" customFormat="false" ht="15" hidden="false" customHeight="false" outlineLevel="0" collapsed="false">
      <c r="A56" s="4" t="s">
        <v>237</v>
      </c>
      <c r="B56" s="4" t="s">
        <v>238</v>
      </c>
      <c r="C56" s="4" t="s">
        <v>122</v>
      </c>
      <c r="D56" s="4" t="s">
        <v>137</v>
      </c>
      <c r="E56" s="8" t="n">
        <v>23200</v>
      </c>
    </row>
    <row r="57" customFormat="false" ht="15" hidden="false" customHeight="false" outlineLevel="0" collapsed="false">
      <c r="A57" s="4" t="s">
        <v>239</v>
      </c>
      <c r="B57" s="4" t="s">
        <v>215</v>
      </c>
      <c r="C57" s="4" t="s">
        <v>126</v>
      </c>
      <c r="D57" s="4" t="s">
        <v>146</v>
      </c>
      <c r="E57" s="8" t="n">
        <v>10100</v>
      </c>
    </row>
    <row r="58" customFormat="false" ht="15" hidden="false" customHeight="false" outlineLevel="0" collapsed="false">
      <c r="A58" s="4" t="s">
        <v>240</v>
      </c>
      <c r="B58" s="4" t="s">
        <v>217</v>
      </c>
      <c r="C58" s="4" t="s">
        <v>122</v>
      </c>
      <c r="D58" s="4" t="s">
        <v>134</v>
      </c>
      <c r="E58" s="8" t="n">
        <v>41300</v>
      </c>
    </row>
    <row r="59" customFormat="false" ht="15" hidden="false" customHeight="false" outlineLevel="0" collapsed="false">
      <c r="A59" s="4" t="s">
        <v>241</v>
      </c>
      <c r="B59" s="4" t="s">
        <v>209</v>
      </c>
      <c r="C59" s="4" t="s">
        <v>118</v>
      </c>
      <c r="D59" s="4" t="s">
        <v>134</v>
      </c>
      <c r="E59" s="8" t="n">
        <v>9100</v>
      </c>
    </row>
    <row r="60" customFormat="false" ht="15" hidden="false" customHeight="false" outlineLevel="0" collapsed="false">
      <c r="A60" s="4" t="s">
        <v>242</v>
      </c>
      <c r="B60" s="4" t="s">
        <v>243</v>
      </c>
      <c r="C60" s="4" t="s">
        <v>126</v>
      </c>
      <c r="D60" s="4" t="s">
        <v>146</v>
      </c>
      <c r="E60" s="8" t="n">
        <v>42800</v>
      </c>
    </row>
    <row r="61" customFormat="false" ht="15" hidden="false" customHeight="false" outlineLevel="0" collapsed="false">
      <c r="A61" s="4" t="s">
        <v>244</v>
      </c>
      <c r="B61" s="4" t="s">
        <v>245</v>
      </c>
      <c r="C61" s="4" t="s">
        <v>124</v>
      </c>
      <c r="D61" s="4" t="s">
        <v>146</v>
      </c>
      <c r="E61" s="8" t="n">
        <v>29600</v>
      </c>
    </row>
    <row r="62" customFormat="false" ht="15" hidden="false" customHeight="false" outlineLevel="0" collapsed="false">
      <c r="A62" s="4" t="s">
        <v>246</v>
      </c>
      <c r="B62" s="4" t="s">
        <v>247</v>
      </c>
      <c r="C62" s="4" t="s">
        <v>126</v>
      </c>
      <c r="D62" s="4" t="s">
        <v>137</v>
      </c>
      <c r="E62" s="8" t="n">
        <v>13700</v>
      </c>
    </row>
    <row r="63" customFormat="false" ht="15" hidden="false" customHeight="false" outlineLevel="0" collapsed="false">
      <c r="A63" s="4" t="s">
        <v>248</v>
      </c>
      <c r="B63" s="4" t="s">
        <v>249</v>
      </c>
      <c r="C63" s="4" t="s">
        <v>114</v>
      </c>
      <c r="D63" s="4" t="s">
        <v>137</v>
      </c>
      <c r="E63" s="8" t="n">
        <v>12500</v>
      </c>
    </row>
    <row r="64" customFormat="false" ht="15" hidden="false" customHeight="false" outlineLevel="0" collapsed="false">
      <c r="A64" s="4" t="s">
        <v>250</v>
      </c>
      <c r="B64" s="4" t="s">
        <v>156</v>
      </c>
      <c r="C64" s="4" t="s">
        <v>126</v>
      </c>
      <c r="D64" s="4" t="s">
        <v>134</v>
      </c>
      <c r="E64" s="8" t="n">
        <v>28800</v>
      </c>
    </row>
    <row r="65" customFormat="false" ht="15" hidden="false" customHeight="false" outlineLevel="0" collapsed="false">
      <c r="A65" s="4" t="s">
        <v>251</v>
      </c>
      <c r="B65" s="4" t="s">
        <v>245</v>
      </c>
      <c r="C65" s="4" t="s">
        <v>116</v>
      </c>
      <c r="D65" s="4" t="s">
        <v>137</v>
      </c>
      <c r="E65" s="8" t="n">
        <v>34000</v>
      </c>
    </row>
    <row r="66" customFormat="false" ht="15" hidden="false" customHeight="false" outlineLevel="0" collapsed="false">
      <c r="A66" s="4" t="s">
        <v>252</v>
      </c>
      <c r="B66" s="4" t="s">
        <v>253</v>
      </c>
      <c r="C66" s="4" t="s">
        <v>122</v>
      </c>
      <c r="D66" s="4" t="s">
        <v>137</v>
      </c>
      <c r="E66" s="8" t="n">
        <v>31400</v>
      </c>
    </row>
    <row r="67" customFormat="false" ht="15" hidden="false" customHeight="false" outlineLevel="0" collapsed="false">
      <c r="A67" s="4" t="s">
        <v>254</v>
      </c>
      <c r="B67" s="4" t="s">
        <v>156</v>
      </c>
      <c r="C67" s="4" t="s">
        <v>124</v>
      </c>
      <c r="D67" s="4" t="s">
        <v>146</v>
      </c>
      <c r="E67" s="8" t="n">
        <v>23400</v>
      </c>
    </row>
    <row r="68" customFormat="false" ht="15" hidden="false" customHeight="false" outlineLevel="0" collapsed="false">
      <c r="A68" s="4" t="s">
        <v>255</v>
      </c>
      <c r="B68" s="4" t="s">
        <v>256</v>
      </c>
      <c r="C68" s="4" t="s">
        <v>126</v>
      </c>
      <c r="D68" s="4" t="s">
        <v>137</v>
      </c>
      <c r="E68" s="8" t="n">
        <v>38100</v>
      </c>
    </row>
    <row r="69" customFormat="false" ht="15" hidden="false" customHeight="false" outlineLevel="0" collapsed="false">
      <c r="A69" s="4" t="s">
        <v>257</v>
      </c>
      <c r="B69" s="4" t="s">
        <v>174</v>
      </c>
      <c r="C69" s="4" t="s">
        <v>126</v>
      </c>
      <c r="D69" s="4" t="s">
        <v>146</v>
      </c>
      <c r="E69" s="8" t="n">
        <v>13500</v>
      </c>
    </row>
    <row r="70" customFormat="false" ht="15" hidden="false" customHeight="false" outlineLevel="0" collapsed="false">
      <c r="A70" s="4" t="s">
        <v>258</v>
      </c>
      <c r="B70" s="4" t="s">
        <v>259</v>
      </c>
      <c r="C70" s="4" t="s">
        <v>120</v>
      </c>
      <c r="D70" s="4" t="s">
        <v>134</v>
      </c>
      <c r="E70" s="8" t="n">
        <v>15000</v>
      </c>
    </row>
    <row r="71" customFormat="false" ht="15" hidden="false" customHeight="false" outlineLevel="0" collapsed="false">
      <c r="A71" s="4" t="s">
        <v>260</v>
      </c>
      <c r="B71" s="4" t="s">
        <v>261</v>
      </c>
      <c r="C71" s="4" t="s">
        <v>114</v>
      </c>
      <c r="D71" s="4" t="s">
        <v>134</v>
      </c>
      <c r="E71" s="8" t="n">
        <v>9200</v>
      </c>
    </row>
    <row r="72" customFormat="false" ht="15" hidden="false" customHeight="false" outlineLevel="0" collapsed="false">
      <c r="A72" s="4" t="s">
        <v>262</v>
      </c>
      <c r="B72" s="4" t="s">
        <v>234</v>
      </c>
      <c r="C72" s="4" t="s">
        <v>118</v>
      </c>
      <c r="D72" s="4" t="s">
        <v>134</v>
      </c>
      <c r="E72" s="8" t="n">
        <v>21900</v>
      </c>
    </row>
    <row r="73" customFormat="false" ht="15" hidden="false" customHeight="false" outlineLevel="0" collapsed="false">
      <c r="A73" s="4" t="s">
        <v>263</v>
      </c>
      <c r="B73" s="4" t="s">
        <v>261</v>
      </c>
      <c r="C73" s="4" t="s">
        <v>126</v>
      </c>
      <c r="D73" s="4" t="s">
        <v>137</v>
      </c>
      <c r="E73" s="8" t="n">
        <v>5000</v>
      </c>
    </row>
    <row r="74" customFormat="false" ht="15" hidden="false" customHeight="false" outlineLevel="0" collapsed="false">
      <c r="A74" s="4" t="s">
        <v>264</v>
      </c>
      <c r="B74" s="4" t="s">
        <v>265</v>
      </c>
      <c r="C74" s="4" t="s">
        <v>112</v>
      </c>
      <c r="D74" s="4" t="s">
        <v>146</v>
      </c>
      <c r="E74" s="8" t="n">
        <v>20300</v>
      </c>
    </row>
    <row r="75" customFormat="false" ht="15" hidden="false" customHeight="false" outlineLevel="0" collapsed="false">
      <c r="A75" s="4" t="s">
        <v>266</v>
      </c>
      <c r="B75" s="4" t="s">
        <v>202</v>
      </c>
      <c r="C75" s="4" t="s">
        <v>120</v>
      </c>
      <c r="D75" s="4" t="s">
        <v>137</v>
      </c>
      <c r="E75" s="8" t="n">
        <v>43000</v>
      </c>
    </row>
    <row r="76" customFormat="false" ht="15" hidden="false" customHeight="false" outlineLevel="0" collapsed="false">
      <c r="A76" s="4" t="s">
        <v>267</v>
      </c>
      <c r="B76" s="4" t="s">
        <v>268</v>
      </c>
      <c r="C76" s="4" t="s">
        <v>118</v>
      </c>
      <c r="D76" s="4" t="s">
        <v>137</v>
      </c>
      <c r="E76" s="8" t="n">
        <v>12500</v>
      </c>
    </row>
    <row r="77" customFormat="false" ht="15" hidden="false" customHeight="false" outlineLevel="0" collapsed="false">
      <c r="A77" s="4" t="s">
        <v>269</v>
      </c>
      <c r="B77" s="4" t="s">
        <v>270</v>
      </c>
      <c r="C77" s="4" t="s">
        <v>112</v>
      </c>
      <c r="D77" s="4" t="s">
        <v>137</v>
      </c>
      <c r="E77" s="8" t="n">
        <v>18100</v>
      </c>
    </row>
    <row r="78" customFormat="false" ht="15" hidden="false" customHeight="false" outlineLevel="0" collapsed="false">
      <c r="A78" s="4" t="s">
        <v>271</v>
      </c>
      <c r="B78" s="4" t="s">
        <v>272</v>
      </c>
      <c r="C78" s="4" t="s">
        <v>116</v>
      </c>
      <c r="D78" s="4" t="s">
        <v>137</v>
      </c>
      <c r="E78" s="8" t="n">
        <v>46100</v>
      </c>
    </row>
    <row r="79" customFormat="false" ht="15" hidden="false" customHeight="false" outlineLevel="0" collapsed="false">
      <c r="A79" s="4" t="s">
        <v>273</v>
      </c>
      <c r="B79" s="4" t="s">
        <v>274</v>
      </c>
      <c r="C79" s="4" t="s">
        <v>112</v>
      </c>
      <c r="D79" s="4" t="s">
        <v>137</v>
      </c>
      <c r="E79" s="8" t="n">
        <v>30400</v>
      </c>
    </row>
    <row r="80" customFormat="false" ht="15" hidden="false" customHeight="false" outlineLevel="0" collapsed="false">
      <c r="A80" s="4" t="s">
        <v>275</v>
      </c>
      <c r="B80" s="4" t="s">
        <v>249</v>
      </c>
      <c r="C80" s="4" t="s">
        <v>114</v>
      </c>
      <c r="D80" s="4" t="s">
        <v>146</v>
      </c>
      <c r="E80" s="8" t="n">
        <v>22600</v>
      </c>
    </row>
    <row r="81" customFormat="false" ht="15" hidden="false" customHeight="false" outlineLevel="0" collapsed="false">
      <c r="A81" s="4" t="s">
        <v>276</v>
      </c>
      <c r="B81" s="4" t="s">
        <v>143</v>
      </c>
      <c r="C81" s="4" t="s">
        <v>112</v>
      </c>
      <c r="D81" s="4" t="s">
        <v>137</v>
      </c>
      <c r="E81" s="8" t="n">
        <v>20200</v>
      </c>
    </row>
    <row r="82" customFormat="false" ht="15" hidden="false" customHeight="false" outlineLevel="0" collapsed="false">
      <c r="A82" s="4" t="s">
        <v>277</v>
      </c>
      <c r="B82" s="4" t="s">
        <v>278</v>
      </c>
      <c r="C82" s="4" t="s">
        <v>122</v>
      </c>
      <c r="D82" s="4" t="s">
        <v>137</v>
      </c>
      <c r="E82" s="8" t="n">
        <v>38500</v>
      </c>
    </row>
    <row r="83" customFormat="false" ht="15" hidden="false" customHeight="false" outlineLevel="0" collapsed="false">
      <c r="A83" s="4" t="s">
        <v>279</v>
      </c>
      <c r="B83" s="4" t="s">
        <v>154</v>
      </c>
      <c r="C83" s="4" t="s">
        <v>124</v>
      </c>
      <c r="D83" s="4" t="s">
        <v>137</v>
      </c>
      <c r="E83" s="8" t="n">
        <v>42100</v>
      </c>
    </row>
    <row r="84" customFormat="false" ht="15" hidden="false" customHeight="false" outlineLevel="0" collapsed="false">
      <c r="A84" s="4" t="s">
        <v>280</v>
      </c>
      <c r="B84" s="4" t="s">
        <v>281</v>
      </c>
      <c r="C84" s="4" t="s">
        <v>112</v>
      </c>
      <c r="D84" s="4" t="s">
        <v>137</v>
      </c>
      <c r="E84" s="8" t="n">
        <v>12800</v>
      </c>
    </row>
    <row r="85" customFormat="false" ht="15" hidden="false" customHeight="false" outlineLevel="0" collapsed="false">
      <c r="A85" s="4" t="s">
        <v>282</v>
      </c>
      <c r="B85" s="4" t="s">
        <v>176</v>
      </c>
      <c r="C85" s="4" t="s">
        <v>112</v>
      </c>
      <c r="D85" s="4" t="s">
        <v>134</v>
      </c>
      <c r="E85" s="8" t="n">
        <v>11600</v>
      </c>
    </row>
    <row r="86" customFormat="false" ht="15" hidden="false" customHeight="false" outlineLevel="0" collapsed="false">
      <c r="A86" s="4" t="s">
        <v>283</v>
      </c>
      <c r="B86" s="4" t="s">
        <v>160</v>
      </c>
      <c r="C86" s="4" t="s">
        <v>116</v>
      </c>
      <c r="D86" s="4" t="s">
        <v>134</v>
      </c>
      <c r="E86" s="8" t="n">
        <v>8100</v>
      </c>
    </row>
    <row r="87" customFormat="false" ht="15" hidden="false" customHeight="false" outlineLevel="0" collapsed="false">
      <c r="A87" s="4" t="s">
        <v>284</v>
      </c>
      <c r="B87" s="4" t="s">
        <v>285</v>
      </c>
      <c r="C87" s="4" t="s">
        <v>118</v>
      </c>
      <c r="D87" s="4" t="s">
        <v>137</v>
      </c>
      <c r="E87" s="8" t="n">
        <v>35600</v>
      </c>
    </row>
    <row r="88" customFormat="false" ht="15" hidden="false" customHeight="false" outlineLevel="0" collapsed="false">
      <c r="A88" s="4" t="s">
        <v>286</v>
      </c>
      <c r="B88" s="4" t="s">
        <v>194</v>
      </c>
      <c r="C88" s="4" t="s">
        <v>114</v>
      </c>
      <c r="D88" s="4" t="s">
        <v>134</v>
      </c>
      <c r="E88" s="8" t="n">
        <v>48300</v>
      </c>
    </row>
    <row r="89" customFormat="false" ht="15" hidden="false" customHeight="false" outlineLevel="0" collapsed="false">
      <c r="A89" s="4" t="s">
        <v>287</v>
      </c>
      <c r="B89" s="4" t="s">
        <v>288</v>
      </c>
      <c r="C89" s="4" t="s">
        <v>112</v>
      </c>
      <c r="D89" s="4" t="s">
        <v>137</v>
      </c>
      <c r="E89" s="8" t="n">
        <v>29600</v>
      </c>
    </row>
    <row r="90" customFormat="false" ht="15" hidden="false" customHeight="false" outlineLevel="0" collapsed="false">
      <c r="A90" s="4" t="s">
        <v>289</v>
      </c>
      <c r="B90" s="4" t="s">
        <v>265</v>
      </c>
      <c r="C90" s="4" t="s">
        <v>118</v>
      </c>
      <c r="D90" s="4" t="s">
        <v>134</v>
      </c>
      <c r="E90" s="8" t="n">
        <v>30400</v>
      </c>
    </row>
    <row r="91" customFormat="false" ht="15" hidden="false" customHeight="false" outlineLevel="0" collapsed="false">
      <c r="A91" s="4" t="s">
        <v>290</v>
      </c>
      <c r="B91" s="4" t="s">
        <v>215</v>
      </c>
      <c r="C91" s="4" t="s">
        <v>114</v>
      </c>
      <c r="D91" s="4" t="s">
        <v>146</v>
      </c>
      <c r="E91" s="8" t="n">
        <v>39100</v>
      </c>
    </row>
    <row r="92" customFormat="false" ht="15" hidden="false" customHeight="false" outlineLevel="0" collapsed="false">
      <c r="A92" s="4" t="s">
        <v>291</v>
      </c>
      <c r="B92" s="4" t="s">
        <v>292</v>
      </c>
      <c r="C92" s="4" t="s">
        <v>114</v>
      </c>
      <c r="D92" s="4" t="s">
        <v>146</v>
      </c>
      <c r="E92" s="8" t="n">
        <v>39600</v>
      </c>
    </row>
    <row r="93" customFormat="false" ht="15" hidden="false" customHeight="false" outlineLevel="0" collapsed="false">
      <c r="A93" s="4" t="s">
        <v>293</v>
      </c>
      <c r="B93" s="4" t="s">
        <v>261</v>
      </c>
      <c r="C93" s="4" t="s">
        <v>124</v>
      </c>
      <c r="D93" s="4" t="s">
        <v>146</v>
      </c>
      <c r="E93" s="8" t="n">
        <v>19800</v>
      </c>
    </row>
    <row r="94" customFormat="false" ht="15" hidden="false" customHeight="false" outlineLevel="0" collapsed="false">
      <c r="A94" s="4" t="s">
        <v>294</v>
      </c>
      <c r="B94" s="4" t="s">
        <v>170</v>
      </c>
      <c r="C94" s="4" t="s">
        <v>112</v>
      </c>
      <c r="D94" s="4" t="s">
        <v>137</v>
      </c>
      <c r="E94" s="8" t="n">
        <v>41500</v>
      </c>
    </row>
    <row r="95" customFormat="false" ht="15" hidden="false" customHeight="false" outlineLevel="0" collapsed="false">
      <c r="A95" s="4" t="s">
        <v>295</v>
      </c>
      <c r="B95" s="4" t="s">
        <v>296</v>
      </c>
      <c r="C95" s="4" t="s">
        <v>122</v>
      </c>
      <c r="D95" s="4" t="s">
        <v>146</v>
      </c>
      <c r="E95" s="8" t="n">
        <v>44800</v>
      </c>
    </row>
    <row r="96" customFormat="false" ht="15" hidden="false" customHeight="false" outlineLevel="0" collapsed="false">
      <c r="A96" s="4" t="s">
        <v>297</v>
      </c>
      <c r="B96" s="4" t="s">
        <v>143</v>
      </c>
      <c r="C96" s="4" t="s">
        <v>124</v>
      </c>
      <c r="D96" s="4" t="s">
        <v>134</v>
      </c>
      <c r="E96" s="8" t="n">
        <v>37200</v>
      </c>
    </row>
    <row r="97" customFormat="false" ht="15" hidden="false" customHeight="false" outlineLevel="0" collapsed="false">
      <c r="A97" s="4" t="s">
        <v>298</v>
      </c>
      <c r="B97" s="4" t="s">
        <v>174</v>
      </c>
      <c r="C97" s="4" t="s">
        <v>126</v>
      </c>
      <c r="D97" s="4" t="s">
        <v>137</v>
      </c>
      <c r="E97" s="8" t="n">
        <v>22900</v>
      </c>
    </row>
    <row r="98" customFormat="false" ht="15" hidden="false" customHeight="false" outlineLevel="0" collapsed="false">
      <c r="A98" s="4" t="s">
        <v>299</v>
      </c>
      <c r="B98" s="4" t="s">
        <v>300</v>
      </c>
      <c r="C98" s="4" t="s">
        <v>120</v>
      </c>
      <c r="D98" s="4" t="s">
        <v>137</v>
      </c>
      <c r="E98" s="8" t="n">
        <v>42900</v>
      </c>
    </row>
    <row r="99" customFormat="false" ht="15" hidden="false" customHeight="false" outlineLevel="0" collapsed="false">
      <c r="A99" s="4" t="s">
        <v>301</v>
      </c>
      <c r="B99" s="4" t="s">
        <v>217</v>
      </c>
      <c r="C99" s="4" t="s">
        <v>126</v>
      </c>
      <c r="D99" s="4" t="s">
        <v>134</v>
      </c>
      <c r="E99" s="8" t="n">
        <v>38000</v>
      </c>
    </row>
    <row r="100" customFormat="false" ht="15" hidden="false" customHeight="false" outlineLevel="0" collapsed="false">
      <c r="A100" s="4" t="s">
        <v>302</v>
      </c>
      <c r="B100" s="4" t="s">
        <v>238</v>
      </c>
      <c r="C100" s="4" t="s">
        <v>124</v>
      </c>
      <c r="D100" s="4" t="s">
        <v>137</v>
      </c>
      <c r="E100" s="8" t="n">
        <v>3400</v>
      </c>
    </row>
    <row r="101" customFormat="false" ht="15" hidden="false" customHeight="false" outlineLevel="0" collapsed="false">
      <c r="A101" s="4" t="s">
        <v>303</v>
      </c>
      <c r="B101" s="4" t="s">
        <v>194</v>
      </c>
      <c r="C101" s="4" t="s">
        <v>126</v>
      </c>
      <c r="D101" s="4" t="s">
        <v>134</v>
      </c>
      <c r="E101" s="8" t="n">
        <v>19000</v>
      </c>
    </row>
    <row r="102" customFormat="false" ht="15" hidden="false" customHeight="false" outlineLevel="0" collapsed="false">
      <c r="A102" s="4" t="s">
        <v>304</v>
      </c>
      <c r="B102" s="4" t="s">
        <v>305</v>
      </c>
      <c r="C102" s="4" t="s">
        <v>120</v>
      </c>
      <c r="D102" s="4" t="s">
        <v>146</v>
      </c>
      <c r="E102" s="8" t="n">
        <v>35700</v>
      </c>
    </row>
    <row r="103" customFormat="false" ht="15" hidden="false" customHeight="false" outlineLevel="0" collapsed="false">
      <c r="A103" s="4" t="s">
        <v>306</v>
      </c>
      <c r="B103" s="4" t="s">
        <v>190</v>
      </c>
      <c r="C103" s="4" t="s">
        <v>112</v>
      </c>
      <c r="D103" s="4" t="s">
        <v>146</v>
      </c>
      <c r="E103" s="8" t="n">
        <v>47500</v>
      </c>
    </row>
    <row r="104" customFormat="false" ht="15" hidden="false" customHeight="false" outlineLevel="0" collapsed="false">
      <c r="A104" s="4" t="s">
        <v>307</v>
      </c>
      <c r="B104" s="4" t="s">
        <v>308</v>
      </c>
      <c r="C104" s="4" t="s">
        <v>124</v>
      </c>
      <c r="D104" s="4" t="s">
        <v>137</v>
      </c>
      <c r="E104" s="8" t="n">
        <v>28600</v>
      </c>
    </row>
    <row r="105" customFormat="false" ht="15" hidden="false" customHeight="false" outlineLevel="0" collapsed="false">
      <c r="A105" s="4" t="s">
        <v>309</v>
      </c>
      <c r="B105" s="4" t="s">
        <v>278</v>
      </c>
      <c r="C105" s="4" t="s">
        <v>126</v>
      </c>
      <c r="D105" s="4" t="s">
        <v>137</v>
      </c>
      <c r="E105" s="8" t="n">
        <v>40100</v>
      </c>
    </row>
    <row r="106" customFormat="false" ht="15" hidden="false" customHeight="false" outlineLevel="0" collapsed="false">
      <c r="A106" s="4" t="s">
        <v>310</v>
      </c>
      <c r="B106" s="4" t="s">
        <v>217</v>
      </c>
      <c r="C106" s="4" t="s">
        <v>118</v>
      </c>
      <c r="D106" s="4" t="s">
        <v>137</v>
      </c>
      <c r="E106" s="8" t="n">
        <v>35200</v>
      </c>
    </row>
    <row r="107" customFormat="false" ht="15" hidden="false" customHeight="false" outlineLevel="0" collapsed="false">
      <c r="A107" s="4" t="s">
        <v>311</v>
      </c>
      <c r="B107" s="4" t="s">
        <v>312</v>
      </c>
      <c r="C107" s="4" t="s">
        <v>122</v>
      </c>
      <c r="D107" s="4" t="s">
        <v>137</v>
      </c>
      <c r="E107" s="8" t="n">
        <v>28600</v>
      </c>
    </row>
    <row r="108" customFormat="false" ht="15" hidden="false" customHeight="false" outlineLevel="0" collapsed="false">
      <c r="A108" s="4" t="s">
        <v>313</v>
      </c>
      <c r="B108" s="4" t="s">
        <v>314</v>
      </c>
      <c r="C108" s="4" t="s">
        <v>122</v>
      </c>
      <c r="D108" s="4" t="s">
        <v>137</v>
      </c>
      <c r="E108" s="8" t="n">
        <v>35700</v>
      </c>
    </row>
    <row r="109" customFormat="false" ht="15" hidden="false" customHeight="false" outlineLevel="0" collapsed="false">
      <c r="A109" s="4" t="s">
        <v>315</v>
      </c>
      <c r="B109" s="4" t="s">
        <v>316</v>
      </c>
      <c r="C109" s="4" t="s">
        <v>120</v>
      </c>
      <c r="D109" s="4" t="s">
        <v>134</v>
      </c>
      <c r="E109" s="8" t="n">
        <v>7800</v>
      </c>
    </row>
    <row r="110" customFormat="false" ht="15" hidden="false" customHeight="false" outlineLevel="0" collapsed="false">
      <c r="A110" s="4" t="s">
        <v>317</v>
      </c>
      <c r="B110" s="4" t="s">
        <v>188</v>
      </c>
      <c r="C110" s="4" t="s">
        <v>114</v>
      </c>
      <c r="D110" s="4" t="s">
        <v>146</v>
      </c>
      <c r="E110" s="8" t="n">
        <v>27700</v>
      </c>
    </row>
    <row r="111" customFormat="false" ht="15" hidden="false" customHeight="false" outlineLevel="0" collapsed="false">
      <c r="A111" s="4" t="s">
        <v>318</v>
      </c>
      <c r="B111" s="4" t="s">
        <v>198</v>
      </c>
      <c r="C111" s="4" t="s">
        <v>118</v>
      </c>
      <c r="D111" s="4" t="s">
        <v>134</v>
      </c>
      <c r="E111" s="8" t="n">
        <v>37500</v>
      </c>
    </row>
    <row r="112" customFormat="false" ht="15" hidden="false" customHeight="false" outlineLevel="0" collapsed="false">
      <c r="A112" s="4" t="s">
        <v>319</v>
      </c>
      <c r="B112" s="4" t="s">
        <v>312</v>
      </c>
      <c r="C112" s="4" t="s">
        <v>120</v>
      </c>
      <c r="D112" s="4" t="s">
        <v>134</v>
      </c>
      <c r="E112" s="8" t="n">
        <v>42000</v>
      </c>
    </row>
    <row r="113" customFormat="false" ht="15" hidden="false" customHeight="false" outlineLevel="0" collapsed="false">
      <c r="A113" s="4" t="s">
        <v>320</v>
      </c>
      <c r="B113" s="4" t="s">
        <v>321</v>
      </c>
      <c r="C113" s="4" t="s">
        <v>122</v>
      </c>
      <c r="D113" s="4" t="s">
        <v>134</v>
      </c>
      <c r="E113" s="8" t="n">
        <v>16500</v>
      </c>
    </row>
    <row r="114" customFormat="false" ht="15" hidden="false" customHeight="false" outlineLevel="0" collapsed="false">
      <c r="A114" s="4" t="s">
        <v>322</v>
      </c>
      <c r="B114" s="4" t="s">
        <v>156</v>
      </c>
      <c r="C114" s="4" t="s">
        <v>116</v>
      </c>
      <c r="D114" s="4" t="s">
        <v>137</v>
      </c>
      <c r="E114" s="8" t="n">
        <v>4200</v>
      </c>
    </row>
    <row r="115" customFormat="false" ht="15" hidden="false" customHeight="false" outlineLevel="0" collapsed="false">
      <c r="A115" s="4" t="s">
        <v>323</v>
      </c>
      <c r="B115" s="4" t="s">
        <v>324</v>
      </c>
      <c r="C115" s="4" t="s">
        <v>120</v>
      </c>
      <c r="D115" s="4" t="s">
        <v>146</v>
      </c>
      <c r="E115" s="8" t="n">
        <v>47300</v>
      </c>
    </row>
    <row r="116" customFormat="false" ht="15" hidden="false" customHeight="false" outlineLevel="0" collapsed="false">
      <c r="A116" s="4" t="s">
        <v>325</v>
      </c>
      <c r="B116" s="4" t="s">
        <v>326</v>
      </c>
      <c r="C116" s="4" t="s">
        <v>114</v>
      </c>
      <c r="D116" s="4" t="s">
        <v>134</v>
      </c>
      <c r="E116" s="8" t="n">
        <v>29600</v>
      </c>
    </row>
    <row r="117" customFormat="false" ht="15" hidden="false" customHeight="false" outlineLevel="0" collapsed="false">
      <c r="A117" s="4" t="s">
        <v>327</v>
      </c>
      <c r="B117" s="4" t="s">
        <v>328</v>
      </c>
      <c r="C117" s="4" t="s">
        <v>126</v>
      </c>
      <c r="D117" s="4" t="s">
        <v>137</v>
      </c>
      <c r="E117" s="8" t="n">
        <v>10800</v>
      </c>
    </row>
    <row r="118" customFormat="false" ht="15" hidden="false" customHeight="false" outlineLevel="0" collapsed="false">
      <c r="A118" s="4" t="s">
        <v>329</v>
      </c>
      <c r="B118" s="4" t="s">
        <v>236</v>
      </c>
      <c r="C118" s="4" t="s">
        <v>126</v>
      </c>
      <c r="D118" s="4" t="s">
        <v>134</v>
      </c>
      <c r="E118" s="8" t="n">
        <v>41500</v>
      </c>
    </row>
    <row r="119" customFormat="false" ht="15" hidden="false" customHeight="false" outlineLevel="0" collapsed="false">
      <c r="A119" s="4" t="s">
        <v>330</v>
      </c>
      <c r="B119" s="4" t="s">
        <v>270</v>
      </c>
      <c r="C119" s="4" t="s">
        <v>114</v>
      </c>
      <c r="D119" s="4" t="s">
        <v>146</v>
      </c>
      <c r="E119" s="8" t="n">
        <v>32200</v>
      </c>
    </row>
    <row r="120" customFormat="false" ht="15" hidden="false" customHeight="false" outlineLevel="0" collapsed="false">
      <c r="A120" s="4" t="s">
        <v>331</v>
      </c>
      <c r="B120" s="4" t="s">
        <v>332</v>
      </c>
      <c r="C120" s="4" t="s">
        <v>116</v>
      </c>
      <c r="D120" s="4" t="s">
        <v>146</v>
      </c>
      <c r="E120" s="8" t="n">
        <v>47600</v>
      </c>
    </row>
    <row r="121" customFormat="false" ht="15" hidden="false" customHeight="false" outlineLevel="0" collapsed="false">
      <c r="A121" s="4" t="s">
        <v>333</v>
      </c>
      <c r="B121" s="4" t="s">
        <v>308</v>
      </c>
      <c r="C121" s="4" t="s">
        <v>114</v>
      </c>
      <c r="D121" s="4" t="s">
        <v>146</v>
      </c>
      <c r="E121" s="8" t="n">
        <v>38700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9" min="8" style="0" width="9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5" min="14" style="0" width="11"/>
  </cols>
  <sheetData>
    <row r="1" customFormat="false" ht="15" hidden="false" customHeight="false" outlineLevel="0" collapsed="false">
      <c r="A1" s="2" t="s">
        <v>334</v>
      </c>
      <c r="B1" s="2" t="s">
        <v>335</v>
      </c>
      <c r="C1" s="2" t="s">
        <v>20</v>
      </c>
      <c r="D1" s="2" t="s">
        <v>128</v>
      </c>
      <c r="E1" s="2" t="s">
        <v>336</v>
      </c>
      <c r="F1" s="2" t="s">
        <v>24</v>
      </c>
      <c r="G1" s="2" t="s">
        <v>22</v>
      </c>
      <c r="H1" s="2" t="s">
        <v>107</v>
      </c>
      <c r="I1" s="2" t="s">
        <v>109</v>
      </c>
      <c r="J1" s="2" t="s">
        <v>110</v>
      </c>
      <c r="K1" s="2" t="s">
        <v>111</v>
      </c>
      <c r="L1" s="2" t="s">
        <v>337</v>
      </c>
      <c r="M1" s="2" t="s">
        <v>338</v>
      </c>
      <c r="N1" s="2" t="s">
        <v>339</v>
      </c>
      <c r="O1" s="2" t="s">
        <v>340</v>
      </c>
    </row>
    <row r="2" customFormat="false" ht="15" hidden="false" customHeight="false" outlineLevel="0" collapsed="false">
      <c r="A2" s="4" t="s">
        <v>341</v>
      </c>
      <c r="B2" s="9" t="n">
        <v>45974</v>
      </c>
      <c r="C2" s="4" t="s">
        <v>103</v>
      </c>
      <c r="D2" s="4" t="s">
        <v>271</v>
      </c>
      <c r="E2" s="4" t="n">
        <v>26</v>
      </c>
      <c r="F2" s="5" t="n">
        <f aca="false">INDEX(Products!$E:$E,MATCH(C2,Products!$A:$A,0))</f>
        <v>125.31</v>
      </c>
      <c r="G2" s="4" t="str">
        <f aca="false">INDEX(Products!$C:$C,MATCH(C2,Products!$A:$A,0))</f>
        <v>Home &amp; Kitchen</v>
      </c>
      <c r="H2" s="4" t="str">
        <f aca="false">INDEX(Customers!$C:$C,MATCH(D2,Customers!$A:$A,0))</f>
        <v>R03</v>
      </c>
      <c r="I2" s="7" t="n">
        <f aca="false">INDEX(Regions!$C:$C,MATCH(H2,Regions!$A:$A,0))</f>
        <v>0.0625</v>
      </c>
      <c r="J2" s="7" t="n">
        <f aca="false">INDEX(Regions!$D:$D,MATCH(H2,Regions!$A:$A,0))</f>
        <v>0.03</v>
      </c>
      <c r="K2" s="4" t="n">
        <f aca="false">INDEX(Regions!$E:$E,MATCH(H2,Regions!$A:$A,0))</f>
        <v>15</v>
      </c>
      <c r="L2" s="5" t="n">
        <f aca="false">E2*F2</f>
        <v>3258.06</v>
      </c>
      <c r="M2" s="5" t="n">
        <f aca="false">IF(E2&gt;=K2,L2*J2,0)</f>
        <v>97.7418</v>
      </c>
      <c r="N2" s="5" t="n">
        <f aca="false">(L2-M2)*I2</f>
        <v>197.5198875</v>
      </c>
      <c r="O2" s="5" t="n">
        <f aca="false">L2-M2+N2</f>
        <v>3357.8380875</v>
      </c>
    </row>
    <row r="3" customFormat="false" ht="15" hidden="false" customHeight="false" outlineLevel="0" collapsed="false">
      <c r="A3" s="4" t="s">
        <v>342</v>
      </c>
      <c r="B3" s="9" t="n">
        <v>45852</v>
      </c>
      <c r="C3" s="4" t="s">
        <v>58</v>
      </c>
      <c r="D3" s="4" t="s">
        <v>303</v>
      </c>
      <c r="E3" s="4" t="n">
        <v>17</v>
      </c>
      <c r="F3" s="5" t="n">
        <f aca="false">INDEX(Products!$E:$E,MATCH(C3,Products!$A:$A,0))</f>
        <v>459.72</v>
      </c>
      <c r="G3" s="4" t="str">
        <f aca="false">INDEX(Products!$C:$C,MATCH(C3,Products!$A:$A,0))</f>
        <v>Office Supplies</v>
      </c>
      <c r="H3" s="4" t="str">
        <f aca="false">INDEX(Customers!$C:$C,MATCH(D3,Customers!$A:$A,0))</f>
        <v>R08</v>
      </c>
      <c r="I3" s="7" t="n">
        <f aca="false">INDEX(Regions!$C:$C,MATCH(H3,Regions!$A:$A,0))</f>
        <v>0.12</v>
      </c>
      <c r="J3" s="7" t="n">
        <f aca="false">INDEX(Regions!$D:$D,MATCH(H3,Regions!$A:$A,0))</f>
        <v>0.04</v>
      </c>
      <c r="K3" s="4" t="n">
        <f aca="false">INDEX(Regions!$E:$E,MATCH(H3,Regions!$A:$A,0))</f>
        <v>12</v>
      </c>
      <c r="L3" s="5" t="n">
        <f aca="false">E3*F3</f>
        <v>7815.24</v>
      </c>
      <c r="M3" s="5" t="n">
        <f aca="false">IF(E3&gt;=K3,L3*J3,0)</f>
        <v>312.6096</v>
      </c>
      <c r="N3" s="5" t="n">
        <f aca="false">(L3-M3)*I3</f>
        <v>900.315648</v>
      </c>
      <c r="O3" s="5" t="n">
        <f aca="false">L3-M3+N3</f>
        <v>8402.946048</v>
      </c>
    </row>
    <row r="4" customFormat="false" ht="15" hidden="false" customHeight="false" outlineLevel="0" collapsed="false">
      <c r="A4" s="4" t="s">
        <v>343</v>
      </c>
      <c r="B4" s="9" t="n">
        <v>45810</v>
      </c>
      <c r="C4" s="4" t="s">
        <v>84</v>
      </c>
      <c r="D4" s="4" t="s">
        <v>329</v>
      </c>
      <c r="E4" s="4" t="n">
        <v>15</v>
      </c>
      <c r="F4" s="5" t="n">
        <f aca="false">INDEX(Products!$E:$E,MATCH(C4,Products!$A:$A,0))</f>
        <v>338.07</v>
      </c>
      <c r="G4" s="4" t="str">
        <f aca="false">INDEX(Products!$C:$C,MATCH(C4,Products!$A:$A,0))</f>
        <v>Office Supplies</v>
      </c>
      <c r="H4" s="4" t="str">
        <f aca="false">INDEX(Customers!$C:$C,MATCH(D4,Customers!$A:$A,0))</f>
        <v>R08</v>
      </c>
      <c r="I4" s="7" t="n">
        <f aca="false">INDEX(Regions!$C:$C,MATCH(H4,Regions!$A:$A,0))</f>
        <v>0.12</v>
      </c>
      <c r="J4" s="7" t="n">
        <f aca="false">INDEX(Regions!$D:$D,MATCH(H4,Regions!$A:$A,0))</f>
        <v>0.04</v>
      </c>
      <c r="K4" s="4" t="n">
        <f aca="false">INDEX(Regions!$E:$E,MATCH(H4,Regions!$A:$A,0))</f>
        <v>12</v>
      </c>
      <c r="L4" s="5" t="n">
        <f aca="false">E4*F4</f>
        <v>5071.05</v>
      </c>
      <c r="M4" s="5" t="n">
        <f aca="false">IF(E4&gt;=K4,L4*J4,0)</f>
        <v>202.842</v>
      </c>
      <c r="N4" s="5" t="n">
        <f aca="false">(L4-M4)*I4</f>
        <v>584.18496</v>
      </c>
      <c r="O4" s="5" t="n">
        <f aca="false">L4-M4+N4</f>
        <v>5452.39296</v>
      </c>
    </row>
    <row r="5" customFormat="false" ht="15" hidden="false" customHeight="false" outlineLevel="0" collapsed="false">
      <c r="A5" s="4" t="s">
        <v>344</v>
      </c>
      <c r="B5" s="9" t="n">
        <v>45949</v>
      </c>
      <c r="C5" s="4" t="s">
        <v>101</v>
      </c>
      <c r="D5" s="4" t="s">
        <v>237</v>
      </c>
      <c r="E5" s="4" t="n">
        <v>10</v>
      </c>
      <c r="F5" s="5" t="n">
        <f aca="false">INDEX(Products!$E:$E,MATCH(C5,Products!$A:$A,0))</f>
        <v>468.78</v>
      </c>
      <c r="G5" s="4" t="str">
        <f aca="false">INDEX(Products!$C:$C,MATCH(C5,Products!$A:$A,0))</f>
        <v>Electronics</v>
      </c>
      <c r="H5" s="4" t="str">
        <f aca="false">INDEX(Customers!$C:$C,MATCH(D5,Customers!$A:$A,0))</f>
        <v>R06</v>
      </c>
      <c r="I5" s="7" t="n">
        <f aca="false">INDEX(Regions!$C:$C,MATCH(H5,Regions!$A:$A,0))</f>
        <v>0.06</v>
      </c>
      <c r="J5" s="7" t="n">
        <f aca="false">INDEX(Regions!$D:$D,MATCH(H5,Regions!$A:$A,0))</f>
        <v>0.04</v>
      </c>
      <c r="K5" s="4" t="n">
        <f aca="false">INDEX(Regions!$E:$E,MATCH(H5,Regions!$A:$A,0))</f>
        <v>12</v>
      </c>
      <c r="L5" s="5" t="n">
        <f aca="false">E5*F5</f>
        <v>4687.8</v>
      </c>
      <c r="M5" s="5" t="n">
        <f aca="false">IF(E5&gt;=K5,L5*J5,0)</f>
        <v>0</v>
      </c>
      <c r="N5" s="5" t="n">
        <f aca="false">(L5-M5)*I5</f>
        <v>281.268</v>
      </c>
      <c r="O5" s="5" t="n">
        <f aca="false">L5-M5+N5</f>
        <v>4969.068</v>
      </c>
    </row>
    <row r="6" customFormat="false" ht="15" hidden="false" customHeight="false" outlineLevel="0" collapsed="false">
      <c r="A6" s="4" t="s">
        <v>345</v>
      </c>
      <c r="B6" s="9" t="n">
        <v>45708</v>
      </c>
      <c r="C6" s="4" t="s">
        <v>105</v>
      </c>
      <c r="D6" s="4" t="s">
        <v>149</v>
      </c>
      <c r="E6" s="4" t="n">
        <v>20</v>
      </c>
      <c r="F6" s="5" t="n">
        <f aca="false">INDEX(Products!$E:$E,MATCH(C6,Products!$A:$A,0))</f>
        <v>216.46</v>
      </c>
      <c r="G6" s="4" t="str">
        <f aca="false">INDEX(Products!$C:$C,MATCH(C6,Products!$A:$A,0))</f>
        <v>Apparel</v>
      </c>
      <c r="H6" s="4" t="str">
        <f aca="false">INDEX(Customers!$C:$C,MATCH(D6,Customers!$A:$A,0))</f>
        <v>R07</v>
      </c>
      <c r="I6" s="7" t="n">
        <f aca="false">INDEX(Regions!$C:$C,MATCH(H6,Regions!$A:$A,0))</f>
        <v>0.15</v>
      </c>
      <c r="J6" s="7" t="n">
        <f aca="false">INDEX(Regions!$D:$D,MATCH(H6,Regions!$A:$A,0))</f>
        <v>0.05</v>
      </c>
      <c r="K6" s="4" t="n">
        <f aca="false">INDEX(Regions!$E:$E,MATCH(H6,Regions!$A:$A,0))</f>
        <v>10</v>
      </c>
      <c r="L6" s="5" t="n">
        <f aca="false">E6*F6</f>
        <v>4329.2</v>
      </c>
      <c r="M6" s="5" t="n">
        <f aca="false">IF(E6&gt;=K6,L6*J6,0)</f>
        <v>216.46</v>
      </c>
      <c r="N6" s="5" t="n">
        <f aca="false">(L6-M6)*I6</f>
        <v>616.911</v>
      </c>
      <c r="O6" s="5" t="n">
        <f aca="false">L6-M6+N6</f>
        <v>4729.651</v>
      </c>
    </row>
    <row r="7" customFormat="false" ht="15" hidden="false" customHeight="false" outlineLevel="0" collapsed="false">
      <c r="A7" s="4" t="s">
        <v>346</v>
      </c>
      <c r="B7" s="9" t="n">
        <v>45793</v>
      </c>
      <c r="C7" s="4" t="s">
        <v>56</v>
      </c>
      <c r="D7" s="4" t="s">
        <v>277</v>
      </c>
      <c r="E7" s="4" t="n">
        <v>7</v>
      </c>
      <c r="F7" s="5" t="n">
        <f aca="false">INDEX(Products!$E:$E,MATCH(C7,Products!$A:$A,0))</f>
        <v>201.42</v>
      </c>
      <c r="G7" s="4" t="str">
        <f aca="false">INDEX(Products!$C:$C,MATCH(C7,Products!$A:$A,0))</f>
        <v>Home &amp; Kitchen</v>
      </c>
      <c r="H7" s="4" t="str">
        <f aca="false">INDEX(Customers!$C:$C,MATCH(D7,Customers!$A:$A,0))</f>
        <v>R06</v>
      </c>
      <c r="I7" s="7" t="n">
        <f aca="false">INDEX(Regions!$C:$C,MATCH(H7,Regions!$A:$A,0))</f>
        <v>0.06</v>
      </c>
      <c r="J7" s="7" t="n">
        <f aca="false">INDEX(Regions!$D:$D,MATCH(H7,Regions!$A:$A,0))</f>
        <v>0.04</v>
      </c>
      <c r="K7" s="4" t="n">
        <f aca="false">INDEX(Regions!$E:$E,MATCH(H7,Regions!$A:$A,0))</f>
        <v>12</v>
      </c>
      <c r="L7" s="5" t="n">
        <f aca="false">E7*F7</f>
        <v>1409.94</v>
      </c>
      <c r="M7" s="5" t="n">
        <f aca="false">IF(E7&gt;=K7,L7*J7,0)</f>
        <v>0</v>
      </c>
      <c r="N7" s="5" t="n">
        <f aca="false">(L7-M7)*I7</f>
        <v>84.5964</v>
      </c>
      <c r="O7" s="5" t="n">
        <f aca="false">L7-M7+N7</f>
        <v>1494.5364</v>
      </c>
    </row>
    <row r="8" customFormat="false" ht="15" hidden="false" customHeight="false" outlineLevel="0" collapsed="false">
      <c r="A8" s="4" t="s">
        <v>347</v>
      </c>
      <c r="B8" s="9" t="n">
        <v>45746</v>
      </c>
      <c r="C8" s="4" t="s">
        <v>40</v>
      </c>
      <c r="D8" s="4" t="s">
        <v>175</v>
      </c>
      <c r="E8" s="4" t="n">
        <v>8</v>
      </c>
      <c r="F8" s="5" t="n">
        <f aca="false">INDEX(Products!$E:$E,MATCH(C8,Products!$A:$A,0))</f>
        <v>93.05</v>
      </c>
      <c r="G8" s="4" t="str">
        <f aca="false">INDEX(Products!$C:$C,MATCH(C8,Products!$A:$A,0))</f>
        <v>Office Supplies</v>
      </c>
      <c r="H8" s="4" t="str">
        <f aca="false">INDEX(Customers!$C:$C,MATCH(D8,Customers!$A:$A,0))</f>
        <v>R08</v>
      </c>
      <c r="I8" s="7" t="n">
        <f aca="false">INDEX(Regions!$C:$C,MATCH(H8,Regions!$A:$A,0))</f>
        <v>0.12</v>
      </c>
      <c r="J8" s="7" t="n">
        <f aca="false">INDEX(Regions!$D:$D,MATCH(H8,Regions!$A:$A,0))</f>
        <v>0.04</v>
      </c>
      <c r="K8" s="4" t="n">
        <f aca="false">INDEX(Regions!$E:$E,MATCH(H8,Regions!$A:$A,0))</f>
        <v>12</v>
      </c>
      <c r="L8" s="5" t="n">
        <f aca="false">E8*F8</f>
        <v>744.4</v>
      </c>
      <c r="M8" s="5" t="n">
        <f aca="false">IF(E8&gt;=K8,L8*J8,0)</f>
        <v>0</v>
      </c>
      <c r="N8" s="5" t="n">
        <f aca="false">(L8-M8)*I8</f>
        <v>89.328</v>
      </c>
      <c r="O8" s="5" t="n">
        <f aca="false">L8-M8+N8</f>
        <v>833.728</v>
      </c>
    </row>
    <row r="9" customFormat="false" ht="15" hidden="false" customHeight="false" outlineLevel="0" collapsed="false">
      <c r="A9" s="4" t="s">
        <v>348</v>
      </c>
      <c r="B9" s="9" t="n">
        <v>45659</v>
      </c>
      <c r="C9" s="4" t="s">
        <v>98</v>
      </c>
      <c r="D9" s="4" t="s">
        <v>153</v>
      </c>
      <c r="E9" s="4" t="n">
        <v>6</v>
      </c>
      <c r="F9" s="5" t="n">
        <f aca="false">INDEX(Products!$E:$E,MATCH(C9,Products!$A:$A,0))</f>
        <v>26.28</v>
      </c>
      <c r="G9" s="4" t="str">
        <f aca="false">INDEX(Products!$C:$C,MATCH(C9,Products!$A:$A,0))</f>
        <v>Home &amp; Kitchen</v>
      </c>
      <c r="H9" s="4" t="str">
        <f aca="false">INDEX(Customers!$C:$C,MATCH(D9,Customers!$A:$A,0))</f>
        <v>R08</v>
      </c>
      <c r="I9" s="7" t="n">
        <f aca="false">INDEX(Regions!$C:$C,MATCH(H9,Regions!$A:$A,0))</f>
        <v>0.12</v>
      </c>
      <c r="J9" s="7" t="n">
        <f aca="false">INDEX(Regions!$D:$D,MATCH(H9,Regions!$A:$A,0))</f>
        <v>0.04</v>
      </c>
      <c r="K9" s="4" t="n">
        <f aca="false">INDEX(Regions!$E:$E,MATCH(H9,Regions!$A:$A,0))</f>
        <v>12</v>
      </c>
      <c r="L9" s="5" t="n">
        <f aca="false">E9*F9</f>
        <v>157.68</v>
      </c>
      <c r="M9" s="5" t="n">
        <f aca="false">IF(E9&gt;=K9,L9*J9,0)</f>
        <v>0</v>
      </c>
      <c r="N9" s="5" t="n">
        <f aca="false">(L9-M9)*I9</f>
        <v>18.9216</v>
      </c>
      <c r="O9" s="5" t="n">
        <f aca="false">L9-M9+N9</f>
        <v>176.6016</v>
      </c>
    </row>
    <row r="10" customFormat="false" ht="15" hidden="false" customHeight="false" outlineLevel="0" collapsed="false">
      <c r="A10" s="4" t="s">
        <v>349</v>
      </c>
      <c r="B10" s="9" t="n">
        <v>45962</v>
      </c>
      <c r="C10" s="4" t="s">
        <v>80</v>
      </c>
      <c r="D10" s="4" t="s">
        <v>241</v>
      </c>
      <c r="E10" s="4" t="n">
        <v>23</v>
      </c>
      <c r="F10" s="5" t="n">
        <f aca="false">INDEX(Products!$E:$E,MATCH(C10,Products!$A:$A,0))</f>
        <v>479.87</v>
      </c>
      <c r="G10" s="4" t="str">
        <f aca="false">INDEX(Products!$C:$C,MATCH(C10,Products!$A:$A,0))</f>
        <v>Office Supplies</v>
      </c>
      <c r="H10" s="4" t="str">
        <f aca="false">INDEX(Customers!$C:$C,MATCH(D10,Customers!$A:$A,0))</f>
        <v>R04</v>
      </c>
      <c r="I10" s="7" t="n">
        <f aca="false">INDEX(Regions!$C:$C,MATCH(H10,Regions!$A:$A,0))</f>
        <v>0.08</v>
      </c>
      <c r="J10" s="7" t="n">
        <f aca="false">INDEX(Regions!$D:$D,MATCH(H10,Regions!$A:$A,0))</f>
        <v>0.05</v>
      </c>
      <c r="K10" s="4" t="n">
        <f aca="false">INDEX(Regions!$E:$E,MATCH(H10,Regions!$A:$A,0))</f>
        <v>10</v>
      </c>
      <c r="L10" s="5" t="n">
        <f aca="false">E10*F10</f>
        <v>11037.01</v>
      </c>
      <c r="M10" s="5" t="n">
        <f aca="false">IF(E10&gt;=K10,L10*J10,0)</f>
        <v>551.8505</v>
      </c>
      <c r="N10" s="5" t="n">
        <f aca="false">(L10-M10)*I10</f>
        <v>838.81276</v>
      </c>
      <c r="O10" s="5" t="n">
        <f aca="false">L10-M10+N10</f>
        <v>11323.97226</v>
      </c>
    </row>
    <row r="11" customFormat="false" ht="15" hidden="false" customHeight="false" outlineLevel="0" collapsed="false">
      <c r="A11" s="4" t="s">
        <v>350</v>
      </c>
      <c r="B11" s="9" t="n">
        <v>45776</v>
      </c>
      <c r="C11" s="4" t="s">
        <v>88</v>
      </c>
      <c r="D11" s="4" t="s">
        <v>206</v>
      </c>
      <c r="E11" s="4" t="n">
        <v>2</v>
      </c>
      <c r="F11" s="5" t="n">
        <f aca="false">INDEX(Products!$E:$E,MATCH(C11,Products!$A:$A,0))</f>
        <v>94.16</v>
      </c>
      <c r="G11" s="4" t="str">
        <f aca="false">INDEX(Products!$C:$C,MATCH(C11,Products!$A:$A,0))</f>
        <v>Office Supplies</v>
      </c>
      <c r="H11" s="4" t="str">
        <f aca="false">INDEX(Customers!$C:$C,MATCH(D11,Customers!$A:$A,0))</f>
        <v>R07</v>
      </c>
      <c r="I11" s="7" t="n">
        <f aca="false">INDEX(Regions!$C:$C,MATCH(H11,Regions!$A:$A,0))</f>
        <v>0.15</v>
      </c>
      <c r="J11" s="7" t="n">
        <f aca="false">INDEX(Regions!$D:$D,MATCH(H11,Regions!$A:$A,0))</f>
        <v>0.05</v>
      </c>
      <c r="K11" s="4" t="n">
        <f aca="false">INDEX(Regions!$E:$E,MATCH(H11,Regions!$A:$A,0))</f>
        <v>10</v>
      </c>
      <c r="L11" s="5" t="n">
        <f aca="false">E11*F11</f>
        <v>188.32</v>
      </c>
      <c r="M11" s="5" t="n">
        <f aca="false">IF(E11&gt;=K11,L11*J11,0)</f>
        <v>0</v>
      </c>
      <c r="N11" s="5" t="n">
        <f aca="false">(L11-M11)*I11</f>
        <v>28.248</v>
      </c>
      <c r="O11" s="5" t="n">
        <f aca="false">L11-M11+N11</f>
        <v>216.568</v>
      </c>
    </row>
    <row r="12" customFormat="false" ht="15" hidden="false" customHeight="false" outlineLevel="0" collapsed="false">
      <c r="A12" s="4" t="s">
        <v>351</v>
      </c>
      <c r="B12" s="9" t="n">
        <v>46017</v>
      </c>
      <c r="C12" s="4" t="s">
        <v>66</v>
      </c>
      <c r="D12" s="4" t="s">
        <v>291</v>
      </c>
      <c r="E12" s="4" t="n">
        <v>10</v>
      </c>
      <c r="F12" s="5" t="n">
        <f aca="false">INDEX(Products!$E:$E,MATCH(C12,Products!$A:$A,0))</f>
        <v>55.31</v>
      </c>
      <c r="G12" s="4" t="str">
        <f aca="false">INDEX(Products!$C:$C,MATCH(C12,Products!$A:$A,0))</f>
        <v>Outdoor</v>
      </c>
      <c r="H12" s="4" t="str">
        <f aca="false">INDEX(Customers!$C:$C,MATCH(D12,Customers!$A:$A,0))</f>
        <v>R02</v>
      </c>
      <c r="I12" s="7" t="n">
        <f aca="false">INDEX(Regions!$C:$C,MATCH(H12,Regions!$A:$A,0))</f>
        <v>0.07</v>
      </c>
      <c r="J12" s="7" t="n">
        <f aca="false">INDEX(Regions!$D:$D,MATCH(H12,Regions!$A:$A,0))</f>
        <v>0.04</v>
      </c>
      <c r="K12" s="4" t="n">
        <f aca="false">INDEX(Regions!$E:$E,MATCH(H12,Regions!$A:$A,0))</f>
        <v>12</v>
      </c>
      <c r="L12" s="5" t="n">
        <f aca="false">E12*F12</f>
        <v>553.1</v>
      </c>
      <c r="M12" s="5" t="n">
        <f aca="false">IF(E12&gt;=K12,L12*J12,0)</f>
        <v>0</v>
      </c>
      <c r="N12" s="5" t="n">
        <f aca="false">(L12-M12)*I12</f>
        <v>38.717</v>
      </c>
      <c r="O12" s="5" t="n">
        <f aca="false">L12-M12+N12</f>
        <v>591.817</v>
      </c>
    </row>
    <row r="13" customFormat="false" ht="15" hidden="false" customHeight="false" outlineLevel="0" collapsed="false">
      <c r="A13" s="4" t="s">
        <v>352</v>
      </c>
      <c r="B13" s="9" t="n">
        <v>45777</v>
      </c>
      <c r="C13" s="4" t="s">
        <v>86</v>
      </c>
      <c r="D13" s="4" t="s">
        <v>153</v>
      </c>
      <c r="E13" s="4" t="n">
        <v>22</v>
      </c>
      <c r="F13" s="5" t="n">
        <f aca="false">INDEX(Products!$E:$E,MATCH(C13,Products!$A:$A,0))</f>
        <v>169.14</v>
      </c>
      <c r="G13" s="4" t="str">
        <f aca="false">INDEX(Products!$C:$C,MATCH(C13,Products!$A:$A,0))</f>
        <v>Office Supplies</v>
      </c>
      <c r="H13" s="4" t="str">
        <f aca="false">INDEX(Customers!$C:$C,MATCH(D13,Customers!$A:$A,0))</f>
        <v>R08</v>
      </c>
      <c r="I13" s="7" t="n">
        <f aca="false">INDEX(Regions!$C:$C,MATCH(H13,Regions!$A:$A,0))</f>
        <v>0.12</v>
      </c>
      <c r="J13" s="7" t="n">
        <f aca="false">INDEX(Regions!$D:$D,MATCH(H13,Regions!$A:$A,0))</f>
        <v>0.04</v>
      </c>
      <c r="K13" s="4" t="n">
        <f aca="false">INDEX(Regions!$E:$E,MATCH(H13,Regions!$A:$A,0))</f>
        <v>12</v>
      </c>
      <c r="L13" s="5" t="n">
        <f aca="false">E13*F13</f>
        <v>3721.08</v>
      </c>
      <c r="M13" s="5" t="n">
        <f aca="false">IF(E13&gt;=K13,L13*J13,0)</f>
        <v>148.8432</v>
      </c>
      <c r="N13" s="5" t="n">
        <f aca="false">(L13-M13)*I13</f>
        <v>428.668416</v>
      </c>
      <c r="O13" s="5" t="n">
        <f aca="false">L13-M13+N13</f>
        <v>4000.905216</v>
      </c>
    </row>
    <row r="14" customFormat="false" ht="15" hidden="false" customHeight="false" outlineLevel="0" collapsed="false">
      <c r="A14" s="4" t="s">
        <v>353</v>
      </c>
      <c r="B14" s="9" t="n">
        <v>45978</v>
      </c>
      <c r="C14" s="4" t="s">
        <v>62</v>
      </c>
      <c r="D14" s="4" t="s">
        <v>304</v>
      </c>
      <c r="E14" s="4" t="n">
        <v>26</v>
      </c>
      <c r="F14" s="5" t="n">
        <f aca="false">INDEX(Products!$E:$E,MATCH(C14,Products!$A:$A,0))</f>
        <v>329.87</v>
      </c>
      <c r="G14" s="4" t="str">
        <f aca="false">INDEX(Products!$C:$C,MATCH(C14,Products!$A:$A,0))</f>
        <v>Electronics</v>
      </c>
      <c r="H14" s="4" t="str">
        <f aca="false">INDEX(Customers!$C:$C,MATCH(D14,Customers!$A:$A,0))</f>
        <v>R05</v>
      </c>
      <c r="I14" s="7" t="n">
        <f aca="false">INDEX(Regions!$C:$C,MATCH(H14,Regions!$A:$A,0))</f>
        <v>0.0925</v>
      </c>
      <c r="J14" s="7" t="n">
        <f aca="false">INDEX(Regions!$D:$D,MATCH(H14,Regions!$A:$A,0))</f>
        <v>0.06</v>
      </c>
      <c r="K14" s="4" t="n">
        <f aca="false">INDEX(Regions!$E:$E,MATCH(H14,Regions!$A:$A,0))</f>
        <v>8</v>
      </c>
      <c r="L14" s="5" t="n">
        <f aca="false">E14*F14</f>
        <v>8576.62</v>
      </c>
      <c r="M14" s="5" t="n">
        <f aca="false">IF(E14&gt;=K14,L14*J14,0)</f>
        <v>514.5972</v>
      </c>
      <c r="N14" s="5" t="n">
        <f aca="false">(L14-M14)*I14</f>
        <v>745.737109</v>
      </c>
      <c r="O14" s="5" t="n">
        <f aca="false">L14-M14+N14</f>
        <v>8807.759909</v>
      </c>
    </row>
    <row r="15" customFormat="false" ht="15" hidden="false" customHeight="false" outlineLevel="0" collapsed="false">
      <c r="A15" s="4" t="s">
        <v>354</v>
      </c>
      <c r="B15" s="9" t="n">
        <v>45759</v>
      </c>
      <c r="C15" s="4" t="s">
        <v>101</v>
      </c>
      <c r="D15" s="4" t="s">
        <v>283</v>
      </c>
      <c r="E15" s="4" t="n">
        <v>26</v>
      </c>
      <c r="F15" s="5" t="n">
        <f aca="false">INDEX(Products!$E:$E,MATCH(C15,Products!$A:$A,0))</f>
        <v>468.78</v>
      </c>
      <c r="G15" s="4" t="str">
        <f aca="false">INDEX(Products!$C:$C,MATCH(C15,Products!$A:$A,0))</f>
        <v>Electronics</v>
      </c>
      <c r="H15" s="4" t="str">
        <f aca="false">INDEX(Customers!$C:$C,MATCH(D15,Customers!$A:$A,0))</f>
        <v>R03</v>
      </c>
      <c r="I15" s="7" t="n">
        <f aca="false">INDEX(Regions!$C:$C,MATCH(H15,Regions!$A:$A,0))</f>
        <v>0.0625</v>
      </c>
      <c r="J15" s="7" t="n">
        <f aca="false">INDEX(Regions!$D:$D,MATCH(H15,Regions!$A:$A,0))</f>
        <v>0.03</v>
      </c>
      <c r="K15" s="4" t="n">
        <f aca="false">INDEX(Regions!$E:$E,MATCH(H15,Regions!$A:$A,0))</f>
        <v>15</v>
      </c>
      <c r="L15" s="5" t="n">
        <f aca="false">E15*F15</f>
        <v>12188.28</v>
      </c>
      <c r="M15" s="5" t="n">
        <f aca="false">IF(E15&gt;=K15,L15*J15,0)</f>
        <v>365.6484</v>
      </c>
      <c r="N15" s="5" t="n">
        <f aca="false">(L15-M15)*I15</f>
        <v>738.914475</v>
      </c>
      <c r="O15" s="5" t="n">
        <f aca="false">L15-M15+N15</f>
        <v>12561.546075</v>
      </c>
    </row>
    <row r="16" customFormat="false" ht="15" hidden="false" customHeight="false" outlineLevel="0" collapsed="false">
      <c r="A16" s="4" t="s">
        <v>355</v>
      </c>
      <c r="B16" s="9" t="n">
        <v>45773</v>
      </c>
      <c r="C16" s="4" t="s">
        <v>82</v>
      </c>
      <c r="D16" s="4" t="s">
        <v>163</v>
      </c>
      <c r="E16" s="4" t="n">
        <v>18</v>
      </c>
      <c r="F16" s="5" t="n">
        <f aca="false">INDEX(Products!$E:$E,MATCH(C16,Products!$A:$A,0))</f>
        <v>365.87</v>
      </c>
      <c r="G16" s="4" t="str">
        <f aca="false">INDEX(Products!$C:$C,MATCH(C16,Products!$A:$A,0))</f>
        <v>Office Supplies</v>
      </c>
      <c r="H16" s="4" t="str">
        <f aca="false">INDEX(Customers!$C:$C,MATCH(D16,Customers!$A:$A,0))</f>
        <v>R02</v>
      </c>
      <c r="I16" s="7" t="n">
        <f aca="false">INDEX(Regions!$C:$C,MATCH(H16,Regions!$A:$A,0))</f>
        <v>0.07</v>
      </c>
      <c r="J16" s="7" t="n">
        <f aca="false">INDEX(Regions!$D:$D,MATCH(H16,Regions!$A:$A,0))</f>
        <v>0.04</v>
      </c>
      <c r="K16" s="4" t="n">
        <f aca="false">INDEX(Regions!$E:$E,MATCH(H16,Regions!$A:$A,0))</f>
        <v>12</v>
      </c>
      <c r="L16" s="5" t="n">
        <f aca="false">E16*F16</f>
        <v>6585.66</v>
      </c>
      <c r="M16" s="5" t="n">
        <f aca="false">IF(E16&gt;=K16,L16*J16,0)</f>
        <v>263.4264</v>
      </c>
      <c r="N16" s="5" t="n">
        <f aca="false">(L16-M16)*I16</f>
        <v>442.556352</v>
      </c>
      <c r="O16" s="5" t="n">
        <f aca="false">L16-M16+N16</f>
        <v>6764.789952</v>
      </c>
    </row>
    <row r="17" customFormat="false" ht="15" hidden="false" customHeight="false" outlineLevel="0" collapsed="false">
      <c r="A17" s="4" t="s">
        <v>356</v>
      </c>
      <c r="B17" s="9" t="n">
        <v>45730</v>
      </c>
      <c r="C17" s="4" t="s">
        <v>49</v>
      </c>
      <c r="D17" s="4" t="s">
        <v>329</v>
      </c>
      <c r="E17" s="4" t="n">
        <v>9</v>
      </c>
      <c r="F17" s="5" t="n">
        <f aca="false">INDEX(Products!$E:$E,MATCH(C17,Products!$A:$A,0))</f>
        <v>229.76</v>
      </c>
      <c r="G17" s="4" t="str">
        <f aca="false">INDEX(Products!$C:$C,MATCH(C17,Products!$A:$A,0))</f>
        <v>Home &amp; Kitchen</v>
      </c>
      <c r="H17" s="4" t="str">
        <f aca="false">INDEX(Customers!$C:$C,MATCH(D17,Customers!$A:$A,0))</f>
        <v>R08</v>
      </c>
      <c r="I17" s="7" t="n">
        <f aca="false">INDEX(Regions!$C:$C,MATCH(H17,Regions!$A:$A,0))</f>
        <v>0.12</v>
      </c>
      <c r="J17" s="7" t="n">
        <f aca="false">INDEX(Regions!$D:$D,MATCH(H17,Regions!$A:$A,0))</f>
        <v>0.04</v>
      </c>
      <c r="K17" s="4" t="n">
        <f aca="false">INDEX(Regions!$E:$E,MATCH(H17,Regions!$A:$A,0))</f>
        <v>12</v>
      </c>
      <c r="L17" s="5" t="n">
        <f aca="false">E17*F17</f>
        <v>2067.84</v>
      </c>
      <c r="M17" s="5" t="n">
        <f aca="false">IF(E17&gt;=K17,L17*J17,0)</f>
        <v>0</v>
      </c>
      <c r="N17" s="5" t="n">
        <f aca="false">(L17-M17)*I17</f>
        <v>248.1408</v>
      </c>
      <c r="O17" s="5" t="n">
        <f aca="false">L17-M17+N17</f>
        <v>2315.9808</v>
      </c>
    </row>
    <row r="18" customFormat="false" ht="15" hidden="false" customHeight="false" outlineLevel="0" collapsed="false">
      <c r="A18" s="4" t="s">
        <v>357</v>
      </c>
      <c r="B18" s="9" t="n">
        <v>45815</v>
      </c>
      <c r="C18" s="4" t="s">
        <v>37</v>
      </c>
      <c r="D18" s="4" t="s">
        <v>149</v>
      </c>
      <c r="E18" s="4" t="n">
        <v>6</v>
      </c>
      <c r="F18" s="5" t="n">
        <f aca="false">INDEX(Products!$E:$E,MATCH(C18,Products!$A:$A,0))</f>
        <v>267.59</v>
      </c>
      <c r="G18" s="4" t="str">
        <f aca="false">INDEX(Products!$C:$C,MATCH(C18,Products!$A:$A,0))</f>
        <v>Electronics</v>
      </c>
      <c r="H18" s="4" t="str">
        <f aca="false">INDEX(Customers!$C:$C,MATCH(D18,Customers!$A:$A,0))</f>
        <v>R07</v>
      </c>
      <c r="I18" s="7" t="n">
        <f aca="false">INDEX(Regions!$C:$C,MATCH(H18,Regions!$A:$A,0))</f>
        <v>0.15</v>
      </c>
      <c r="J18" s="7" t="n">
        <f aca="false">INDEX(Regions!$D:$D,MATCH(H18,Regions!$A:$A,0))</f>
        <v>0.05</v>
      </c>
      <c r="K18" s="4" t="n">
        <f aca="false">INDEX(Regions!$E:$E,MATCH(H18,Regions!$A:$A,0))</f>
        <v>10</v>
      </c>
      <c r="L18" s="5" t="n">
        <f aca="false">E18*F18</f>
        <v>1605.54</v>
      </c>
      <c r="M18" s="5" t="n">
        <f aca="false">IF(E18&gt;=K18,L18*J18,0)</f>
        <v>0</v>
      </c>
      <c r="N18" s="5" t="n">
        <f aca="false">(L18-M18)*I18</f>
        <v>240.831</v>
      </c>
      <c r="O18" s="5" t="n">
        <f aca="false">L18-M18+N18</f>
        <v>1846.371</v>
      </c>
    </row>
    <row r="19" customFormat="false" ht="15" hidden="false" customHeight="false" outlineLevel="0" collapsed="false">
      <c r="A19" s="4" t="s">
        <v>358</v>
      </c>
      <c r="B19" s="9" t="n">
        <v>45949</v>
      </c>
      <c r="C19" s="4" t="s">
        <v>103</v>
      </c>
      <c r="D19" s="4" t="s">
        <v>298</v>
      </c>
      <c r="E19" s="4" t="n">
        <v>27</v>
      </c>
      <c r="F19" s="5" t="n">
        <f aca="false">INDEX(Products!$E:$E,MATCH(C19,Products!$A:$A,0))</f>
        <v>125.31</v>
      </c>
      <c r="G19" s="4" t="str">
        <f aca="false">INDEX(Products!$C:$C,MATCH(C19,Products!$A:$A,0))</f>
        <v>Home &amp; Kitchen</v>
      </c>
      <c r="H19" s="4" t="str">
        <f aca="false">INDEX(Customers!$C:$C,MATCH(D19,Customers!$A:$A,0))</f>
        <v>R08</v>
      </c>
      <c r="I19" s="7" t="n">
        <f aca="false">INDEX(Regions!$C:$C,MATCH(H19,Regions!$A:$A,0))</f>
        <v>0.12</v>
      </c>
      <c r="J19" s="7" t="n">
        <f aca="false">INDEX(Regions!$D:$D,MATCH(H19,Regions!$A:$A,0))</f>
        <v>0.04</v>
      </c>
      <c r="K19" s="4" t="n">
        <f aca="false">INDEX(Regions!$E:$E,MATCH(H19,Regions!$A:$A,0))</f>
        <v>12</v>
      </c>
      <c r="L19" s="5" t="n">
        <f aca="false">E19*F19</f>
        <v>3383.37</v>
      </c>
      <c r="M19" s="5" t="n">
        <f aca="false">IF(E19&gt;=K19,L19*J19,0)</f>
        <v>135.3348</v>
      </c>
      <c r="N19" s="5" t="n">
        <f aca="false">(L19-M19)*I19</f>
        <v>389.764224</v>
      </c>
      <c r="O19" s="5" t="n">
        <f aca="false">L19-M19+N19</f>
        <v>3637.799424</v>
      </c>
    </row>
    <row r="20" customFormat="false" ht="15" hidden="false" customHeight="false" outlineLevel="0" collapsed="false">
      <c r="A20" s="4" t="s">
        <v>359</v>
      </c>
      <c r="B20" s="9" t="n">
        <v>45897</v>
      </c>
      <c r="C20" s="4" t="s">
        <v>66</v>
      </c>
      <c r="D20" s="4" t="s">
        <v>240</v>
      </c>
      <c r="E20" s="4" t="n">
        <v>4</v>
      </c>
      <c r="F20" s="5" t="n">
        <f aca="false">INDEX(Products!$E:$E,MATCH(C20,Products!$A:$A,0))</f>
        <v>55.31</v>
      </c>
      <c r="G20" s="4" t="str">
        <f aca="false">INDEX(Products!$C:$C,MATCH(C20,Products!$A:$A,0))</f>
        <v>Outdoor</v>
      </c>
      <c r="H20" s="4" t="str">
        <f aca="false">INDEX(Customers!$C:$C,MATCH(D20,Customers!$A:$A,0))</f>
        <v>R06</v>
      </c>
      <c r="I20" s="7" t="n">
        <f aca="false">INDEX(Regions!$C:$C,MATCH(H20,Regions!$A:$A,0))</f>
        <v>0.06</v>
      </c>
      <c r="J20" s="7" t="n">
        <f aca="false">INDEX(Regions!$D:$D,MATCH(H20,Regions!$A:$A,0))</f>
        <v>0.04</v>
      </c>
      <c r="K20" s="4" t="n">
        <f aca="false">INDEX(Regions!$E:$E,MATCH(H20,Regions!$A:$A,0))</f>
        <v>12</v>
      </c>
      <c r="L20" s="5" t="n">
        <f aca="false">E20*F20</f>
        <v>221.24</v>
      </c>
      <c r="M20" s="5" t="n">
        <f aca="false">IF(E20&gt;=K20,L20*J20,0)</f>
        <v>0</v>
      </c>
      <c r="N20" s="5" t="n">
        <f aca="false">(L20-M20)*I20</f>
        <v>13.2744</v>
      </c>
      <c r="O20" s="5" t="n">
        <f aca="false">L20-M20+N20</f>
        <v>234.5144</v>
      </c>
    </row>
    <row r="21" customFormat="false" ht="15" hidden="false" customHeight="false" outlineLevel="0" collapsed="false">
      <c r="A21" s="4" t="s">
        <v>360</v>
      </c>
      <c r="B21" s="9" t="n">
        <v>45797</v>
      </c>
      <c r="C21" s="4" t="s">
        <v>67</v>
      </c>
      <c r="D21" s="4" t="s">
        <v>290</v>
      </c>
      <c r="E21" s="4" t="n">
        <v>13</v>
      </c>
      <c r="F21" s="5" t="n">
        <f aca="false">INDEX(Products!$E:$E,MATCH(C21,Products!$A:$A,0))</f>
        <v>198.43</v>
      </c>
      <c r="G21" s="4" t="str">
        <f aca="false">INDEX(Products!$C:$C,MATCH(C21,Products!$A:$A,0))</f>
        <v>Apparel</v>
      </c>
      <c r="H21" s="4" t="str">
        <f aca="false">INDEX(Customers!$C:$C,MATCH(D21,Customers!$A:$A,0))</f>
        <v>R02</v>
      </c>
      <c r="I21" s="7" t="n">
        <f aca="false">INDEX(Regions!$C:$C,MATCH(H21,Regions!$A:$A,0))</f>
        <v>0.07</v>
      </c>
      <c r="J21" s="7" t="n">
        <f aca="false">INDEX(Regions!$D:$D,MATCH(H21,Regions!$A:$A,0))</f>
        <v>0.04</v>
      </c>
      <c r="K21" s="4" t="n">
        <f aca="false">INDEX(Regions!$E:$E,MATCH(H21,Regions!$A:$A,0))</f>
        <v>12</v>
      </c>
      <c r="L21" s="5" t="n">
        <f aca="false">E21*F21</f>
        <v>2579.59</v>
      </c>
      <c r="M21" s="5" t="n">
        <f aca="false">IF(E21&gt;=K21,L21*J21,0)</f>
        <v>103.1836</v>
      </c>
      <c r="N21" s="5" t="n">
        <f aca="false">(L21-M21)*I21</f>
        <v>173.348448</v>
      </c>
      <c r="O21" s="5" t="n">
        <f aca="false">L21-M21+N21</f>
        <v>2649.754848</v>
      </c>
    </row>
    <row r="22" customFormat="false" ht="15" hidden="false" customHeight="false" outlineLevel="0" collapsed="false">
      <c r="A22" s="4" t="s">
        <v>361</v>
      </c>
      <c r="B22" s="9" t="n">
        <v>45882</v>
      </c>
      <c r="C22" s="4" t="s">
        <v>92</v>
      </c>
      <c r="D22" s="4" t="s">
        <v>260</v>
      </c>
      <c r="E22" s="4" t="n">
        <v>16</v>
      </c>
      <c r="F22" s="5" t="n">
        <f aca="false">INDEX(Products!$E:$E,MATCH(C22,Products!$A:$A,0))</f>
        <v>333.4</v>
      </c>
      <c r="G22" s="4" t="str">
        <f aca="false">INDEX(Products!$C:$C,MATCH(C22,Products!$A:$A,0))</f>
        <v>Outdoor</v>
      </c>
      <c r="H22" s="4" t="str">
        <f aca="false">INDEX(Customers!$C:$C,MATCH(D22,Customers!$A:$A,0))</f>
        <v>R02</v>
      </c>
      <c r="I22" s="7" t="n">
        <f aca="false">INDEX(Regions!$C:$C,MATCH(H22,Regions!$A:$A,0))</f>
        <v>0.07</v>
      </c>
      <c r="J22" s="7" t="n">
        <f aca="false">INDEX(Regions!$D:$D,MATCH(H22,Regions!$A:$A,0))</f>
        <v>0.04</v>
      </c>
      <c r="K22" s="4" t="n">
        <f aca="false">INDEX(Regions!$E:$E,MATCH(H22,Regions!$A:$A,0))</f>
        <v>12</v>
      </c>
      <c r="L22" s="5" t="n">
        <f aca="false">E22*F22</f>
        <v>5334.4</v>
      </c>
      <c r="M22" s="5" t="n">
        <f aca="false">IF(E22&gt;=K22,L22*J22,0)</f>
        <v>213.376</v>
      </c>
      <c r="N22" s="5" t="n">
        <f aca="false">(L22-M22)*I22</f>
        <v>358.47168</v>
      </c>
      <c r="O22" s="5" t="n">
        <f aca="false">L22-M22+N22</f>
        <v>5479.49568</v>
      </c>
    </row>
    <row r="23" customFormat="false" ht="15" hidden="false" customHeight="false" outlineLevel="0" collapsed="false">
      <c r="A23" s="4" t="s">
        <v>362</v>
      </c>
      <c r="B23" s="9" t="n">
        <v>45879</v>
      </c>
      <c r="C23" s="4" t="s">
        <v>40</v>
      </c>
      <c r="D23" s="4" t="s">
        <v>271</v>
      </c>
      <c r="E23" s="4" t="n">
        <v>2</v>
      </c>
      <c r="F23" s="5" t="n">
        <f aca="false">INDEX(Products!$E:$E,MATCH(C23,Products!$A:$A,0))</f>
        <v>93.05</v>
      </c>
      <c r="G23" s="4" t="str">
        <f aca="false">INDEX(Products!$C:$C,MATCH(C23,Products!$A:$A,0))</f>
        <v>Office Supplies</v>
      </c>
      <c r="H23" s="4" t="str">
        <f aca="false">INDEX(Customers!$C:$C,MATCH(D23,Customers!$A:$A,0))</f>
        <v>R03</v>
      </c>
      <c r="I23" s="7" t="n">
        <f aca="false">INDEX(Regions!$C:$C,MATCH(H23,Regions!$A:$A,0))</f>
        <v>0.0625</v>
      </c>
      <c r="J23" s="7" t="n">
        <f aca="false">INDEX(Regions!$D:$D,MATCH(H23,Regions!$A:$A,0))</f>
        <v>0.03</v>
      </c>
      <c r="K23" s="4" t="n">
        <f aca="false">INDEX(Regions!$E:$E,MATCH(H23,Regions!$A:$A,0))</f>
        <v>15</v>
      </c>
      <c r="L23" s="5" t="n">
        <f aca="false">E23*F23</f>
        <v>186.1</v>
      </c>
      <c r="M23" s="5" t="n">
        <f aca="false">IF(E23&gt;=K23,L23*J23,0)</f>
        <v>0</v>
      </c>
      <c r="N23" s="5" t="n">
        <f aca="false">(L23-M23)*I23</f>
        <v>11.63125</v>
      </c>
      <c r="O23" s="5" t="n">
        <f aca="false">L23-M23+N23</f>
        <v>197.73125</v>
      </c>
    </row>
    <row r="24" customFormat="false" ht="15" hidden="false" customHeight="false" outlineLevel="0" collapsed="false">
      <c r="A24" s="4" t="s">
        <v>363</v>
      </c>
      <c r="B24" s="9" t="n">
        <v>45671</v>
      </c>
      <c r="C24" s="4" t="s">
        <v>69</v>
      </c>
      <c r="D24" s="4" t="s">
        <v>273</v>
      </c>
      <c r="E24" s="4" t="n">
        <v>9</v>
      </c>
      <c r="F24" s="5" t="n">
        <f aca="false">INDEX(Products!$E:$E,MATCH(C24,Products!$A:$A,0))</f>
        <v>173.5</v>
      </c>
      <c r="G24" s="4" t="str">
        <f aca="false">INDEX(Products!$C:$C,MATCH(C24,Products!$A:$A,0))</f>
        <v>Home &amp; Kitchen</v>
      </c>
      <c r="H24" s="4" t="str">
        <f aca="false">INDEX(Customers!$C:$C,MATCH(D24,Customers!$A:$A,0))</f>
        <v>R01</v>
      </c>
      <c r="I24" s="7" t="n">
        <f aca="false">INDEX(Regions!$C:$C,MATCH(H24,Regions!$A:$A,0))</f>
        <v>0.0825</v>
      </c>
      <c r="J24" s="7" t="n">
        <f aca="false">INDEX(Regions!$D:$D,MATCH(H24,Regions!$A:$A,0))</f>
        <v>0.05</v>
      </c>
      <c r="K24" s="4" t="n">
        <f aca="false">INDEX(Regions!$E:$E,MATCH(H24,Regions!$A:$A,0))</f>
        <v>10</v>
      </c>
      <c r="L24" s="5" t="n">
        <f aca="false">E24*F24</f>
        <v>1561.5</v>
      </c>
      <c r="M24" s="5" t="n">
        <f aca="false">IF(E24&gt;=K24,L24*J24,0)</f>
        <v>0</v>
      </c>
      <c r="N24" s="5" t="n">
        <f aca="false">(L24-M24)*I24</f>
        <v>128.82375</v>
      </c>
      <c r="O24" s="5" t="n">
        <f aca="false">L24-M24+N24</f>
        <v>1690.32375</v>
      </c>
    </row>
    <row r="25" customFormat="false" ht="15" hidden="false" customHeight="false" outlineLevel="0" collapsed="false">
      <c r="A25" s="4" t="s">
        <v>364</v>
      </c>
      <c r="B25" s="9" t="n">
        <v>45952</v>
      </c>
      <c r="C25" s="4" t="s">
        <v>40</v>
      </c>
      <c r="D25" s="4" t="s">
        <v>191</v>
      </c>
      <c r="E25" s="4" t="n">
        <v>22</v>
      </c>
      <c r="F25" s="5" t="n">
        <f aca="false">INDEX(Products!$E:$E,MATCH(C25,Products!$A:$A,0))</f>
        <v>93.05</v>
      </c>
      <c r="G25" s="4" t="str">
        <f aca="false">INDEX(Products!$C:$C,MATCH(C25,Products!$A:$A,0))</f>
        <v>Office Supplies</v>
      </c>
      <c r="H25" s="4" t="str">
        <f aca="false">INDEX(Customers!$C:$C,MATCH(D25,Customers!$A:$A,0))</f>
        <v>R07</v>
      </c>
      <c r="I25" s="7" t="n">
        <f aca="false">INDEX(Regions!$C:$C,MATCH(H25,Regions!$A:$A,0))</f>
        <v>0.15</v>
      </c>
      <c r="J25" s="7" t="n">
        <f aca="false">INDEX(Regions!$D:$D,MATCH(H25,Regions!$A:$A,0))</f>
        <v>0.05</v>
      </c>
      <c r="K25" s="4" t="n">
        <f aca="false">INDEX(Regions!$E:$E,MATCH(H25,Regions!$A:$A,0))</f>
        <v>10</v>
      </c>
      <c r="L25" s="5" t="n">
        <f aca="false">E25*F25</f>
        <v>2047.1</v>
      </c>
      <c r="M25" s="5" t="n">
        <f aca="false">IF(E25&gt;=K25,L25*J25,0)</f>
        <v>102.355</v>
      </c>
      <c r="N25" s="5" t="n">
        <f aca="false">(L25-M25)*I25</f>
        <v>291.71175</v>
      </c>
      <c r="O25" s="5" t="n">
        <f aca="false">L25-M25+N25</f>
        <v>2236.45675</v>
      </c>
    </row>
    <row r="26" customFormat="false" ht="15" hidden="false" customHeight="false" outlineLevel="0" collapsed="false">
      <c r="A26" s="4" t="s">
        <v>365</v>
      </c>
      <c r="B26" s="9" t="n">
        <v>46002</v>
      </c>
      <c r="C26" s="4" t="s">
        <v>101</v>
      </c>
      <c r="D26" s="4" t="s">
        <v>138</v>
      </c>
      <c r="E26" s="4" t="n">
        <v>25</v>
      </c>
      <c r="F26" s="5" t="n">
        <f aca="false">INDEX(Products!$E:$E,MATCH(C26,Products!$A:$A,0))</f>
        <v>468.78</v>
      </c>
      <c r="G26" s="4" t="str">
        <f aca="false">INDEX(Products!$C:$C,MATCH(C26,Products!$A:$A,0))</f>
        <v>Electronics</v>
      </c>
      <c r="H26" s="4" t="str">
        <f aca="false">INDEX(Customers!$C:$C,MATCH(D26,Customers!$A:$A,0))</f>
        <v>R02</v>
      </c>
      <c r="I26" s="7" t="n">
        <f aca="false">INDEX(Regions!$C:$C,MATCH(H26,Regions!$A:$A,0))</f>
        <v>0.07</v>
      </c>
      <c r="J26" s="7" t="n">
        <f aca="false">INDEX(Regions!$D:$D,MATCH(H26,Regions!$A:$A,0))</f>
        <v>0.04</v>
      </c>
      <c r="K26" s="4" t="n">
        <f aca="false">INDEX(Regions!$E:$E,MATCH(H26,Regions!$A:$A,0))</f>
        <v>12</v>
      </c>
      <c r="L26" s="5" t="n">
        <f aca="false">E26*F26</f>
        <v>11719.5</v>
      </c>
      <c r="M26" s="5" t="n">
        <f aca="false">IF(E26&gt;=K26,L26*J26,0)</f>
        <v>468.78</v>
      </c>
      <c r="N26" s="5" t="n">
        <f aca="false">(L26-M26)*I26</f>
        <v>787.5504</v>
      </c>
      <c r="O26" s="5" t="n">
        <f aca="false">L26-M26+N26</f>
        <v>12038.2704</v>
      </c>
    </row>
    <row r="27" customFormat="false" ht="15" hidden="false" customHeight="false" outlineLevel="0" collapsed="false">
      <c r="A27" s="4" t="s">
        <v>366</v>
      </c>
      <c r="B27" s="9" t="n">
        <v>45747</v>
      </c>
      <c r="C27" s="4" t="s">
        <v>64</v>
      </c>
      <c r="D27" s="4" t="s">
        <v>266</v>
      </c>
      <c r="E27" s="4" t="n">
        <v>2</v>
      </c>
      <c r="F27" s="5" t="n">
        <f aca="false">INDEX(Products!$E:$E,MATCH(C27,Products!$A:$A,0))</f>
        <v>340.32</v>
      </c>
      <c r="G27" s="4" t="str">
        <f aca="false">INDEX(Products!$C:$C,MATCH(C27,Products!$A:$A,0))</f>
        <v>Apparel</v>
      </c>
      <c r="H27" s="4" t="str">
        <f aca="false">INDEX(Customers!$C:$C,MATCH(D27,Customers!$A:$A,0))</f>
        <v>R05</v>
      </c>
      <c r="I27" s="7" t="n">
        <f aca="false">INDEX(Regions!$C:$C,MATCH(H27,Regions!$A:$A,0))</f>
        <v>0.0925</v>
      </c>
      <c r="J27" s="7" t="n">
        <f aca="false">INDEX(Regions!$D:$D,MATCH(H27,Regions!$A:$A,0))</f>
        <v>0.06</v>
      </c>
      <c r="K27" s="4" t="n">
        <f aca="false">INDEX(Regions!$E:$E,MATCH(H27,Regions!$A:$A,0))</f>
        <v>8</v>
      </c>
      <c r="L27" s="5" t="n">
        <f aca="false">E27*F27</f>
        <v>680.64</v>
      </c>
      <c r="M27" s="5" t="n">
        <f aca="false">IF(E27&gt;=K27,L27*J27,0)</f>
        <v>0</v>
      </c>
      <c r="N27" s="5" t="n">
        <f aca="false">(L27-M27)*I27</f>
        <v>62.9592</v>
      </c>
      <c r="O27" s="5" t="n">
        <f aca="false">L27-M27+N27</f>
        <v>743.5992</v>
      </c>
    </row>
    <row r="28" customFormat="false" ht="15" hidden="false" customHeight="false" outlineLevel="0" collapsed="false">
      <c r="A28" s="4" t="s">
        <v>367</v>
      </c>
      <c r="B28" s="9" t="n">
        <v>45884</v>
      </c>
      <c r="C28" s="4" t="s">
        <v>88</v>
      </c>
      <c r="D28" s="4" t="s">
        <v>255</v>
      </c>
      <c r="E28" s="4" t="n">
        <v>21</v>
      </c>
      <c r="F28" s="5" t="n">
        <f aca="false">INDEX(Products!$E:$E,MATCH(C28,Products!$A:$A,0))</f>
        <v>94.16</v>
      </c>
      <c r="G28" s="4" t="str">
        <f aca="false">INDEX(Products!$C:$C,MATCH(C28,Products!$A:$A,0))</f>
        <v>Office Supplies</v>
      </c>
      <c r="H28" s="4" t="str">
        <f aca="false">INDEX(Customers!$C:$C,MATCH(D28,Customers!$A:$A,0))</f>
        <v>R08</v>
      </c>
      <c r="I28" s="7" t="n">
        <f aca="false">INDEX(Regions!$C:$C,MATCH(H28,Regions!$A:$A,0))</f>
        <v>0.12</v>
      </c>
      <c r="J28" s="7" t="n">
        <f aca="false">INDEX(Regions!$D:$D,MATCH(H28,Regions!$A:$A,0))</f>
        <v>0.04</v>
      </c>
      <c r="K28" s="4" t="n">
        <f aca="false">INDEX(Regions!$E:$E,MATCH(H28,Regions!$A:$A,0))</f>
        <v>12</v>
      </c>
      <c r="L28" s="5" t="n">
        <f aca="false">E28*F28</f>
        <v>1977.36</v>
      </c>
      <c r="M28" s="5" t="n">
        <f aca="false">IF(E28&gt;=K28,L28*J28,0)</f>
        <v>79.0944</v>
      </c>
      <c r="N28" s="5" t="n">
        <f aca="false">(L28-M28)*I28</f>
        <v>227.791872</v>
      </c>
      <c r="O28" s="5" t="n">
        <f aca="false">L28-M28+N28</f>
        <v>2126.057472</v>
      </c>
    </row>
    <row r="29" customFormat="false" ht="15" hidden="false" customHeight="false" outlineLevel="0" collapsed="false">
      <c r="A29" s="4" t="s">
        <v>368</v>
      </c>
      <c r="B29" s="9" t="n">
        <v>45881</v>
      </c>
      <c r="C29" s="4" t="s">
        <v>64</v>
      </c>
      <c r="D29" s="4" t="s">
        <v>180</v>
      </c>
      <c r="E29" s="4" t="n">
        <v>19</v>
      </c>
      <c r="F29" s="5" t="n">
        <f aca="false">INDEX(Products!$E:$E,MATCH(C29,Products!$A:$A,0))</f>
        <v>340.32</v>
      </c>
      <c r="G29" s="4" t="str">
        <f aca="false">INDEX(Products!$C:$C,MATCH(C29,Products!$A:$A,0))</f>
        <v>Apparel</v>
      </c>
      <c r="H29" s="4" t="str">
        <f aca="false">INDEX(Customers!$C:$C,MATCH(D29,Customers!$A:$A,0))</f>
        <v>R05</v>
      </c>
      <c r="I29" s="7" t="n">
        <f aca="false">INDEX(Regions!$C:$C,MATCH(H29,Regions!$A:$A,0))</f>
        <v>0.0925</v>
      </c>
      <c r="J29" s="7" t="n">
        <f aca="false">INDEX(Regions!$D:$D,MATCH(H29,Regions!$A:$A,0))</f>
        <v>0.06</v>
      </c>
      <c r="K29" s="4" t="n">
        <f aca="false">INDEX(Regions!$E:$E,MATCH(H29,Regions!$A:$A,0))</f>
        <v>8</v>
      </c>
      <c r="L29" s="5" t="n">
        <f aca="false">E29*F29</f>
        <v>6466.08</v>
      </c>
      <c r="M29" s="5" t="n">
        <f aca="false">IF(E29&gt;=K29,L29*J29,0)</f>
        <v>387.9648</v>
      </c>
      <c r="N29" s="5" t="n">
        <f aca="false">(L29-M29)*I29</f>
        <v>562.225656</v>
      </c>
      <c r="O29" s="5" t="n">
        <f aca="false">L29-M29+N29</f>
        <v>6640.340856</v>
      </c>
    </row>
    <row r="30" customFormat="false" ht="15" hidden="false" customHeight="false" outlineLevel="0" collapsed="false">
      <c r="A30" s="4" t="s">
        <v>369</v>
      </c>
      <c r="B30" s="9" t="n">
        <v>45836</v>
      </c>
      <c r="C30" s="4" t="s">
        <v>90</v>
      </c>
      <c r="D30" s="4" t="s">
        <v>157</v>
      </c>
      <c r="E30" s="4" t="n">
        <v>16</v>
      </c>
      <c r="F30" s="5" t="n">
        <f aca="false">INDEX(Products!$E:$E,MATCH(C30,Products!$A:$A,0))</f>
        <v>446.56</v>
      </c>
      <c r="G30" s="4" t="str">
        <f aca="false">INDEX(Products!$C:$C,MATCH(C30,Products!$A:$A,0))</f>
        <v>Outdoor</v>
      </c>
      <c r="H30" s="4" t="str">
        <f aca="false">INDEX(Customers!$C:$C,MATCH(D30,Customers!$A:$A,0))</f>
        <v>R01</v>
      </c>
      <c r="I30" s="7" t="n">
        <f aca="false">INDEX(Regions!$C:$C,MATCH(H30,Regions!$A:$A,0))</f>
        <v>0.0825</v>
      </c>
      <c r="J30" s="7" t="n">
        <f aca="false">INDEX(Regions!$D:$D,MATCH(H30,Regions!$A:$A,0))</f>
        <v>0.05</v>
      </c>
      <c r="K30" s="4" t="n">
        <f aca="false">INDEX(Regions!$E:$E,MATCH(H30,Regions!$A:$A,0))</f>
        <v>10</v>
      </c>
      <c r="L30" s="5" t="n">
        <f aca="false">E30*F30</f>
        <v>7144.96</v>
      </c>
      <c r="M30" s="5" t="n">
        <f aca="false">IF(E30&gt;=K30,L30*J30,0)</f>
        <v>357.248</v>
      </c>
      <c r="N30" s="5" t="n">
        <f aca="false">(L30-M30)*I30</f>
        <v>559.98624</v>
      </c>
      <c r="O30" s="5" t="n">
        <f aca="false">L30-M30+N30</f>
        <v>7347.69824</v>
      </c>
    </row>
    <row r="31" customFormat="false" ht="15" hidden="false" customHeight="false" outlineLevel="0" collapsed="false">
      <c r="A31" s="4" t="s">
        <v>370</v>
      </c>
      <c r="B31" s="9" t="n">
        <v>46001</v>
      </c>
      <c r="C31" s="4" t="s">
        <v>80</v>
      </c>
      <c r="D31" s="4" t="s">
        <v>216</v>
      </c>
      <c r="E31" s="4" t="n">
        <v>11</v>
      </c>
      <c r="F31" s="5" t="n">
        <f aca="false">INDEX(Products!$E:$E,MATCH(C31,Products!$A:$A,0))</f>
        <v>479.87</v>
      </c>
      <c r="G31" s="4" t="str">
        <f aca="false">INDEX(Products!$C:$C,MATCH(C31,Products!$A:$A,0))</f>
        <v>Office Supplies</v>
      </c>
      <c r="H31" s="4" t="str">
        <f aca="false">INDEX(Customers!$C:$C,MATCH(D31,Customers!$A:$A,0))</f>
        <v>R06</v>
      </c>
      <c r="I31" s="7" t="n">
        <f aca="false">INDEX(Regions!$C:$C,MATCH(H31,Regions!$A:$A,0))</f>
        <v>0.06</v>
      </c>
      <c r="J31" s="7" t="n">
        <f aca="false">INDEX(Regions!$D:$D,MATCH(H31,Regions!$A:$A,0))</f>
        <v>0.04</v>
      </c>
      <c r="K31" s="4" t="n">
        <f aca="false">INDEX(Regions!$E:$E,MATCH(H31,Regions!$A:$A,0))</f>
        <v>12</v>
      </c>
      <c r="L31" s="5" t="n">
        <f aca="false">E31*F31</f>
        <v>5278.57</v>
      </c>
      <c r="M31" s="5" t="n">
        <f aca="false">IF(E31&gt;=K31,L31*J31,0)</f>
        <v>0</v>
      </c>
      <c r="N31" s="5" t="n">
        <f aca="false">(L31-M31)*I31</f>
        <v>316.7142</v>
      </c>
      <c r="O31" s="5" t="n">
        <f aca="false">L31-M31+N31</f>
        <v>5595.2842</v>
      </c>
    </row>
    <row r="32" customFormat="false" ht="15" hidden="false" customHeight="false" outlineLevel="0" collapsed="false">
      <c r="A32" s="4" t="s">
        <v>371</v>
      </c>
      <c r="B32" s="9" t="n">
        <v>45826</v>
      </c>
      <c r="C32" s="4" t="s">
        <v>42</v>
      </c>
      <c r="D32" s="4" t="s">
        <v>318</v>
      </c>
      <c r="E32" s="4" t="n">
        <v>6</v>
      </c>
      <c r="F32" s="5" t="n">
        <f aca="false">INDEX(Products!$E:$E,MATCH(C32,Products!$A:$A,0))</f>
        <v>156.05</v>
      </c>
      <c r="G32" s="4" t="str">
        <f aca="false">INDEX(Products!$C:$C,MATCH(C32,Products!$A:$A,0))</f>
        <v>Electronics</v>
      </c>
      <c r="H32" s="4" t="str">
        <f aca="false">INDEX(Customers!$C:$C,MATCH(D32,Customers!$A:$A,0))</f>
        <v>R04</v>
      </c>
      <c r="I32" s="7" t="n">
        <f aca="false">INDEX(Regions!$C:$C,MATCH(H32,Regions!$A:$A,0))</f>
        <v>0.08</v>
      </c>
      <c r="J32" s="7" t="n">
        <f aca="false">INDEX(Regions!$D:$D,MATCH(H32,Regions!$A:$A,0))</f>
        <v>0.05</v>
      </c>
      <c r="K32" s="4" t="n">
        <f aca="false">INDEX(Regions!$E:$E,MATCH(H32,Regions!$A:$A,0))</f>
        <v>10</v>
      </c>
      <c r="L32" s="5" t="n">
        <f aca="false">E32*F32</f>
        <v>936.3</v>
      </c>
      <c r="M32" s="5" t="n">
        <f aca="false">IF(E32&gt;=K32,L32*J32,0)</f>
        <v>0</v>
      </c>
      <c r="N32" s="5" t="n">
        <f aca="false">(L32-M32)*I32</f>
        <v>74.904</v>
      </c>
      <c r="O32" s="5" t="n">
        <f aca="false">L32-M32+N32</f>
        <v>1011.204</v>
      </c>
    </row>
    <row r="33" customFormat="false" ht="15" hidden="false" customHeight="false" outlineLevel="0" collapsed="false">
      <c r="A33" s="4" t="s">
        <v>372</v>
      </c>
      <c r="B33" s="9" t="n">
        <v>45805</v>
      </c>
      <c r="C33" s="4" t="s">
        <v>80</v>
      </c>
      <c r="D33" s="4" t="s">
        <v>289</v>
      </c>
      <c r="E33" s="4" t="n">
        <v>16</v>
      </c>
      <c r="F33" s="5" t="n">
        <f aca="false">INDEX(Products!$E:$E,MATCH(C33,Products!$A:$A,0))</f>
        <v>479.87</v>
      </c>
      <c r="G33" s="4" t="str">
        <f aca="false">INDEX(Products!$C:$C,MATCH(C33,Products!$A:$A,0))</f>
        <v>Office Supplies</v>
      </c>
      <c r="H33" s="4" t="str">
        <f aca="false">INDEX(Customers!$C:$C,MATCH(D33,Customers!$A:$A,0))</f>
        <v>R04</v>
      </c>
      <c r="I33" s="7" t="n">
        <f aca="false">INDEX(Regions!$C:$C,MATCH(H33,Regions!$A:$A,0))</f>
        <v>0.08</v>
      </c>
      <c r="J33" s="7" t="n">
        <f aca="false">INDEX(Regions!$D:$D,MATCH(H33,Regions!$A:$A,0))</f>
        <v>0.05</v>
      </c>
      <c r="K33" s="4" t="n">
        <f aca="false">INDEX(Regions!$E:$E,MATCH(H33,Regions!$A:$A,0))</f>
        <v>10</v>
      </c>
      <c r="L33" s="5" t="n">
        <f aca="false">E33*F33</f>
        <v>7677.92</v>
      </c>
      <c r="M33" s="5" t="n">
        <f aca="false">IF(E33&gt;=K33,L33*J33,0)</f>
        <v>383.896</v>
      </c>
      <c r="N33" s="5" t="n">
        <f aca="false">(L33-M33)*I33</f>
        <v>583.52192</v>
      </c>
      <c r="O33" s="5" t="n">
        <f aca="false">L33-M33+N33</f>
        <v>7877.54592</v>
      </c>
    </row>
    <row r="34" customFormat="false" ht="15" hidden="false" customHeight="false" outlineLevel="0" collapsed="false">
      <c r="A34" s="4" t="s">
        <v>373</v>
      </c>
      <c r="B34" s="9" t="n">
        <v>45939</v>
      </c>
      <c r="C34" s="4" t="s">
        <v>79</v>
      </c>
      <c r="D34" s="4" t="s">
        <v>310</v>
      </c>
      <c r="E34" s="4" t="n">
        <v>25</v>
      </c>
      <c r="F34" s="5" t="n">
        <f aca="false">INDEX(Products!$E:$E,MATCH(C34,Products!$A:$A,0))</f>
        <v>53.77</v>
      </c>
      <c r="G34" s="4" t="str">
        <f aca="false">INDEX(Products!$C:$C,MATCH(C34,Products!$A:$A,0))</f>
        <v>Office Supplies</v>
      </c>
      <c r="H34" s="4" t="str">
        <f aca="false">INDEX(Customers!$C:$C,MATCH(D34,Customers!$A:$A,0))</f>
        <v>R04</v>
      </c>
      <c r="I34" s="7" t="n">
        <f aca="false">INDEX(Regions!$C:$C,MATCH(H34,Regions!$A:$A,0))</f>
        <v>0.08</v>
      </c>
      <c r="J34" s="7" t="n">
        <f aca="false">INDEX(Regions!$D:$D,MATCH(H34,Regions!$A:$A,0))</f>
        <v>0.05</v>
      </c>
      <c r="K34" s="4" t="n">
        <f aca="false">INDEX(Regions!$E:$E,MATCH(H34,Regions!$A:$A,0))</f>
        <v>10</v>
      </c>
      <c r="L34" s="5" t="n">
        <f aca="false">E34*F34</f>
        <v>1344.25</v>
      </c>
      <c r="M34" s="5" t="n">
        <f aca="false">IF(E34&gt;=K34,L34*J34,0)</f>
        <v>67.2125</v>
      </c>
      <c r="N34" s="5" t="n">
        <f aca="false">(L34-M34)*I34</f>
        <v>102.163</v>
      </c>
      <c r="O34" s="5" t="n">
        <f aca="false">L34-M34+N34</f>
        <v>1379.2005</v>
      </c>
    </row>
    <row r="35" customFormat="false" ht="15" hidden="false" customHeight="false" outlineLevel="0" collapsed="false">
      <c r="A35" s="4" t="s">
        <v>374</v>
      </c>
      <c r="B35" s="9" t="n">
        <v>45819</v>
      </c>
      <c r="C35" s="4" t="s">
        <v>32</v>
      </c>
      <c r="D35" s="4" t="s">
        <v>242</v>
      </c>
      <c r="E35" s="4" t="n">
        <v>3</v>
      </c>
      <c r="F35" s="5" t="n">
        <f aca="false">INDEX(Products!$E:$E,MATCH(C35,Products!$A:$A,0))</f>
        <v>112.96</v>
      </c>
      <c r="G35" s="4" t="str">
        <f aca="false">INDEX(Products!$C:$C,MATCH(C35,Products!$A:$A,0))</f>
        <v>Home &amp; Kitchen</v>
      </c>
      <c r="H35" s="4" t="str">
        <f aca="false">INDEX(Customers!$C:$C,MATCH(D35,Customers!$A:$A,0))</f>
        <v>R08</v>
      </c>
      <c r="I35" s="7" t="n">
        <f aca="false">INDEX(Regions!$C:$C,MATCH(H35,Regions!$A:$A,0))</f>
        <v>0.12</v>
      </c>
      <c r="J35" s="7" t="n">
        <f aca="false">INDEX(Regions!$D:$D,MATCH(H35,Regions!$A:$A,0))</f>
        <v>0.04</v>
      </c>
      <c r="K35" s="4" t="n">
        <f aca="false">INDEX(Regions!$E:$E,MATCH(H35,Regions!$A:$A,0))</f>
        <v>12</v>
      </c>
      <c r="L35" s="5" t="n">
        <f aca="false">E35*F35</f>
        <v>338.88</v>
      </c>
      <c r="M35" s="5" t="n">
        <f aca="false">IF(E35&gt;=K35,L35*J35,0)</f>
        <v>0</v>
      </c>
      <c r="N35" s="5" t="n">
        <f aca="false">(L35-M35)*I35</f>
        <v>40.6656</v>
      </c>
      <c r="O35" s="5" t="n">
        <f aca="false">L35-M35+N35</f>
        <v>379.5456</v>
      </c>
    </row>
    <row r="36" customFormat="false" ht="15" hidden="false" customHeight="false" outlineLevel="0" collapsed="false">
      <c r="A36" s="4" t="s">
        <v>375</v>
      </c>
      <c r="B36" s="9" t="n">
        <v>45864</v>
      </c>
      <c r="C36" s="4" t="s">
        <v>62</v>
      </c>
      <c r="D36" s="4" t="s">
        <v>214</v>
      </c>
      <c r="E36" s="4" t="n">
        <v>4</v>
      </c>
      <c r="F36" s="5" t="n">
        <f aca="false">INDEX(Products!$E:$E,MATCH(C36,Products!$A:$A,0))</f>
        <v>329.87</v>
      </c>
      <c r="G36" s="4" t="str">
        <f aca="false">INDEX(Products!$C:$C,MATCH(C36,Products!$A:$A,0))</f>
        <v>Electronics</v>
      </c>
      <c r="H36" s="4" t="str">
        <f aca="false">INDEX(Customers!$C:$C,MATCH(D36,Customers!$A:$A,0))</f>
        <v>R07</v>
      </c>
      <c r="I36" s="7" t="n">
        <f aca="false">INDEX(Regions!$C:$C,MATCH(H36,Regions!$A:$A,0))</f>
        <v>0.15</v>
      </c>
      <c r="J36" s="7" t="n">
        <f aca="false">INDEX(Regions!$D:$D,MATCH(H36,Regions!$A:$A,0))</f>
        <v>0.05</v>
      </c>
      <c r="K36" s="4" t="n">
        <f aca="false">INDEX(Regions!$E:$E,MATCH(H36,Regions!$A:$A,0))</f>
        <v>10</v>
      </c>
      <c r="L36" s="5" t="n">
        <f aca="false">E36*F36</f>
        <v>1319.48</v>
      </c>
      <c r="M36" s="5" t="n">
        <f aca="false">IF(E36&gt;=K36,L36*J36,0)</f>
        <v>0</v>
      </c>
      <c r="N36" s="5" t="n">
        <f aca="false">(L36-M36)*I36</f>
        <v>197.922</v>
      </c>
      <c r="O36" s="5" t="n">
        <f aca="false">L36-M36+N36</f>
        <v>1517.402</v>
      </c>
    </row>
    <row r="37" customFormat="false" ht="15" hidden="false" customHeight="false" outlineLevel="0" collapsed="false">
      <c r="A37" s="4" t="s">
        <v>376</v>
      </c>
      <c r="B37" s="9" t="n">
        <v>45994</v>
      </c>
      <c r="C37" s="4" t="s">
        <v>92</v>
      </c>
      <c r="D37" s="4" t="s">
        <v>311</v>
      </c>
      <c r="E37" s="4" t="n">
        <v>1</v>
      </c>
      <c r="F37" s="5" t="n">
        <f aca="false">INDEX(Products!$E:$E,MATCH(C37,Products!$A:$A,0))</f>
        <v>333.4</v>
      </c>
      <c r="G37" s="4" t="str">
        <f aca="false">INDEX(Products!$C:$C,MATCH(C37,Products!$A:$A,0))</f>
        <v>Outdoor</v>
      </c>
      <c r="H37" s="4" t="str">
        <f aca="false">INDEX(Customers!$C:$C,MATCH(D37,Customers!$A:$A,0))</f>
        <v>R06</v>
      </c>
      <c r="I37" s="7" t="n">
        <f aca="false">INDEX(Regions!$C:$C,MATCH(H37,Regions!$A:$A,0))</f>
        <v>0.06</v>
      </c>
      <c r="J37" s="7" t="n">
        <f aca="false">INDEX(Regions!$D:$D,MATCH(H37,Regions!$A:$A,0))</f>
        <v>0.04</v>
      </c>
      <c r="K37" s="4" t="n">
        <f aca="false">INDEX(Regions!$E:$E,MATCH(H37,Regions!$A:$A,0))</f>
        <v>12</v>
      </c>
      <c r="L37" s="5" t="n">
        <f aca="false">E37*F37</f>
        <v>333.4</v>
      </c>
      <c r="M37" s="5" t="n">
        <f aca="false">IF(E37&gt;=K37,L37*J37,0)</f>
        <v>0</v>
      </c>
      <c r="N37" s="5" t="n">
        <f aca="false">(L37-M37)*I37</f>
        <v>20.004</v>
      </c>
      <c r="O37" s="5" t="n">
        <f aca="false">L37-M37+N37</f>
        <v>353.404</v>
      </c>
    </row>
    <row r="38" customFormat="false" ht="15" hidden="false" customHeight="false" outlineLevel="0" collapsed="false">
      <c r="A38" s="4" t="s">
        <v>377</v>
      </c>
      <c r="B38" s="9" t="n">
        <v>45685</v>
      </c>
      <c r="C38" s="4" t="s">
        <v>96</v>
      </c>
      <c r="D38" s="4" t="s">
        <v>244</v>
      </c>
      <c r="E38" s="4" t="n">
        <v>14</v>
      </c>
      <c r="F38" s="5" t="n">
        <f aca="false">INDEX(Products!$E:$E,MATCH(C38,Products!$A:$A,0))</f>
        <v>195.64</v>
      </c>
      <c r="G38" s="4" t="str">
        <f aca="false">INDEX(Products!$C:$C,MATCH(C38,Products!$A:$A,0))</f>
        <v>Office Supplies</v>
      </c>
      <c r="H38" s="4" t="str">
        <f aca="false">INDEX(Customers!$C:$C,MATCH(D38,Customers!$A:$A,0))</f>
        <v>R07</v>
      </c>
      <c r="I38" s="7" t="n">
        <f aca="false">INDEX(Regions!$C:$C,MATCH(H38,Regions!$A:$A,0))</f>
        <v>0.15</v>
      </c>
      <c r="J38" s="7" t="n">
        <f aca="false">INDEX(Regions!$D:$D,MATCH(H38,Regions!$A:$A,0))</f>
        <v>0.05</v>
      </c>
      <c r="K38" s="4" t="n">
        <f aca="false">INDEX(Regions!$E:$E,MATCH(H38,Regions!$A:$A,0))</f>
        <v>10</v>
      </c>
      <c r="L38" s="5" t="n">
        <f aca="false">E38*F38</f>
        <v>2738.96</v>
      </c>
      <c r="M38" s="5" t="n">
        <f aca="false">IF(E38&gt;=K38,L38*J38,0)</f>
        <v>136.948</v>
      </c>
      <c r="N38" s="5" t="n">
        <f aca="false">(L38-M38)*I38</f>
        <v>390.3018</v>
      </c>
      <c r="O38" s="5" t="n">
        <f aca="false">L38-M38+N38</f>
        <v>2992.3138</v>
      </c>
    </row>
    <row r="39" customFormat="false" ht="15" hidden="false" customHeight="false" outlineLevel="0" collapsed="false">
      <c r="A39" s="4" t="s">
        <v>378</v>
      </c>
      <c r="B39" s="9" t="n">
        <v>45976</v>
      </c>
      <c r="C39" s="4" t="s">
        <v>54</v>
      </c>
      <c r="D39" s="4" t="s">
        <v>255</v>
      </c>
      <c r="E39" s="4" t="n">
        <v>12</v>
      </c>
      <c r="F39" s="5" t="n">
        <f aca="false">INDEX(Products!$E:$E,MATCH(C39,Products!$A:$A,0))</f>
        <v>84.7</v>
      </c>
      <c r="G39" s="4" t="str">
        <f aca="false">INDEX(Products!$C:$C,MATCH(C39,Products!$A:$A,0))</f>
        <v>Office Supplies</v>
      </c>
      <c r="H39" s="4" t="str">
        <f aca="false">INDEX(Customers!$C:$C,MATCH(D39,Customers!$A:$A,0))</f>
        <v>R08</v>
      </c>
      <c r="I39" s="7" t="n">
        <f aca="false">INDEX(Regions!$C:$C,MATCH(H39,Regions!$A:$A,0))</f>
        <v>0.12</v>
      </c>
      <c r="J39" s="7" t="n">
        <f aca="false">INDEX(Regions!$D:$D,MATCH(H39,Regions!$A:$A,0))</f>
        <v>0.04</v>
      </c>
      <c r="K39" s="4" t="n">
        <f aca="false">INDEX(Regions!$E:$E,MATCH(H39,Regions!$A:$A,0))</f>
        <v>12</v>
      </c>
      <c r="L39" s="5" t="n">
        <f aca="false">E39*F39</f>
        <v>1016.4</v>
      </c>
      <c r="M39" s="5" t="n">
        <f aca="false">IF(E39&gt;=K39,L39*J39,0)</f>
        <v>40.656</v>
      </c>
      <c r="N39" s="5" t="n">
        <f aca="false">(L39-M39)*I39</f>
        <v>117.08928</v>
      </c>
      <c r="O39" s="5" t="n">
        <f aca="false">L39-M39+N39</f>
        <v>1092.83328</v>
      </c>
    </row>
    <row r="40" customFormat="false" ht="15" hidden="false" customHeight="false" outlineLevel="0" collapsed="false">
      <c r="A40" s="4" t="s">
        <v>379</v>
      </c>
      <c r="B40" s="9" t="n">
        <v>45684</v>
      </c>
      <c r="C40" s="4" t="s">
        <v>90</v>
      </c>
      <c r="D40" s="4" t="s">
        <v>277</v>
      </c>
      <c r="E40" s="4" t="n">
        <v>15</v>
      </c>
      <c r="F40" s="5" t="n">
        <f aca="false">INDEX(Products!$E:$E,MATCH(C40,Products!$A:$A,0))</f>
        <v>446.56</v>
      </c>
      <c r="G40" s="4" t="str">
        <f aca="false">INDEX(Products!$C:$C,MATCH(C40,Products!$A:$A,0))</f>
        <v>Outdoor</v>
      </c>
      <c r="H40" s="4" t="str">
        <f aca="false">INDEX(Customers!$C:$C,MATCH(D40,Customers!$A:$A,0))</f>
        <v>R06</v>
      </c>
      <c r="I40" s="7" t="n">
        <f aca="false">INDEX(Regions!$C:$C,MATCH(H40,Regions!$A:$A,0))</f>
        <v>0.06</v>
      </c>
      <c r="J40" s="7" t="n">
        <f aca="false">INDEX(Regions!$D:$D,MATCH(H40,Regions!$A:$A,0))</f>
        <v>0.04</v>
      </c>
      <c r="K40" s="4" t="n">
        <f aca="false">INDEX(Regions!$E:$E,MATCH(H40,Regions!$A:$A,0))</f>
        <v>12</v>
      </c>
      <c r="L40" s="5" t="n">
        <f aca="false">E40*F40</f>
        <v>6698.4</v>
      </c>
      <c r="M40" s="5" t="n">
        <f aca="false">IF(E40&gt;=K40,L40*J40,0)</f>
        <v>267.936</v>
      </c>
      <c r="N40" s="5" t="n">
        <f aca="false">(L40-M40)*I40</f>
        <v>385.82784</v>
      </c>
      <c r="O40" s="5" t="n">
        <f aca="false">L40-M40+N40</f>
        <v>6816.29184</v>
      </c>
    </row>
    <row r="41" customFormat="false" ht="15" hidden="false" customHeight="false" outlineLevel="0" collapsed="false">
      <c r="A41" s="4" t="s">
        <v>380</v>
      </c>
      <c r="B41" s="9" t="n">
        <v>45725</v>
      </c>
      <c r="C41" s="4" t="s">
        <v>56</v>
      </c>
      <c r="D41" s="4" t="s">
        <v>201</v>
      </c>
      <c r="E41" s="4" t="n">
        <v>18</v>
      </c>
      <c r="F41" s="5" t="n">
        <f aca="false">INDEX(Products!$E:$E,MATCH(C41,Products!$A:$A,0))</f>
        <v>201.42</v>
      </c>
      <c r="G41" s="4" t="str">
        <f aca="false">INDEX(Products!$C:$C,MATCH(C41,Products!$A:$A,0))</f>
        <v>Home &amp; Kitchen</v>
      </c>
      <c r="H41" s="4" t="str">
        <f aca="false">INDEX(Customers!$C:$C,MATCH(D41,Customers!$A:$A,0))</f>
        <v>R04</v>
      </c>
      <c r="I41" s="7" t="n">
        <f aca="false">INDEX(Regions!$C:$C,MATCH(H41,Regions!$A:$A,0))</f>
        <v>0.08</v>
      </c>
      <c r="J41" s="7" t="n">
        <f aca="false">INDEX(Regions!$D:$D,MATCH(H41,Regions!$A:$A,0))</f>
        <v>0.05</v>
      </c>
      <c r="K41" s="4" t="n">
        <f aca="false">INDEX(Regions!$E:$E,MATCH(H41,Regions!$A:$A,0))</f>
        <v>10</v>
      </c>
      <c r="L41" s="5" t="n">
        <f aca="false">E41*F41</f>
        <v>3625.56</v>
      </c>
      <c r="M41" s="5" t="n">
        <f aca="false">IF(E41&gt;=K41,L41*J41,0)</f>
        <v>181.278</v>
      </c>
      <c r="N41" s="5" t="n">
        <f aca="false">(L41-M41)*I41</f>
        <v>275.54256</v>
      </c>
      <c r="O41" s="5" t="n">
        <f aca="false">L41-M41+N41</f>
        <v>3719.82456</v>
      </c>
    </row>
    <row r="42" customFormat="false" ht="15" hidden="false" customHeight="false" outlineLevel="0" collapsed="false">
      <c r="A42" s="4" t="s">
        <v>381</v>
      </c>
      <c r="B42" s="9" t="n">
        <v>46015</v>
      </c>
      <c r="C42" s="4" t="s">
        <v>66</v>
      </c>
      <c r="D42" s="4" t="s">
        <v>240</v>
      </c>
      <c r="E42" s="4" t="n">
        <v>29</v>
      </c>
      <c r="F42" s="5" t="n">
        <f aca="false">INDEX(Products!$E:$E,MATCH(C42,Products!$A:$A,0))</f>
        <v>55.31</v>
      </c>
      <c r="G42" s="4" t="str">
        <f aca="false">INDEX(Products!$C:$C,MATCH(C42,Products!$A:$A,0))</f>
        <v>Outdoor</v>
      </c>
      <c r="H42" s="4" t="str">
        <f aca="false">INDEX(Customers!$C:$C,MATCH(D42,Customers!$A:$A,0))</f>
        <v>R06</v>
      </c>
      <c r="I42" s="7" t="n">
        <f aca="false">INDEX(Regions!$C:$C,MATCH(H42,Regions!$A:$A,0))</f>
        <v>0.06</v>
      </c>
      <c r="J42" s="7" t="n">
        <f aca="false">INDEX(Regions!$D:$D,MATCH(H42,Regions!$A:$A,0))</f>
        <v>0.04</v>
      </c>
      <c r="K42" s="4" t="n">
        <f aca="false">INDEX(Regions!$E:$E,MATCH(H42,Regions!$A:$A,0))</f>
        <v>12</v>
      </c>
      <c r="L42" s="5" t="n">
        <f aca="false">E42*F42</f>
        <v>1603.99</v>
      </c>
      <c r="M42" s="5" t="n">
        <f aca="false">IF(E42&gt;=K42,L42*J42,0)</f>
        <v>64.1596</v>
      </c>
      <c r="N42" s="5" t="n">
        <f aca="false">(L42-M42)*I42</f>
        <v>92.389824</v>
      </c>
      <c r="O42" s="5" t="n">
        <f aca="false">L42-M42+N42</f>
        <v>1632.220224</v>
      </c>
    </row>
    <row r="43" customFormat="false" ht="15" hidden="false" customHeight="false" outlineLevel="0" collapsed="false">
      <c r="A43" s="4" t="s">
        <v>382</v>
      </c>
      <c r="B43" s="9" t="n">
        <v>45980</v>
      </c>
      <c r="C43" s="4" t="s">
        <v>90</v>
      </c>
      <c r="D43" s="4" t="s">
        <v>165</v>
      </c>
      <c r="E43" s="4" t="n">
        <v>1</v>
      </c>
      <c r="F43" s="5" t="n">
        <f aca="false">INDEX(Products!$E:$E,MATCH(C43,Products!$A:$A,0))</f>
        <v>446.56</v>
      </c>
      <c r="G43" s="4" t="str">
        <f aca="false">INDEX(Products!$C:$C,MATCH(C43,Products!$A:$A,0))</f>
        <v>Outdoor</v>
      </c>
      <c r="H43" s="4" t="str">
        <f aca="false">INDEX(Customers!$C:$C,MATCH(D43,Customers!$A:$A,0))</f>
        <v>R04</v>
      </c>
      <c r="I43" s="7" t="n">
        <f aca="false">INDEX(Regions!$C:$C,MATCH(H43,Regions!$A:$A,0))</f>
        <v>0.08</v>
      </c>
      <c r="J43" s="7" t="n">
        <f aca="false">INDEX(Regions!$D:$D,MATCH(H43,Regions!$A:$A,0))</f>
        <v>0.05</v>
      </c>
      <c r="K43" s="4" t="n">
        <f aca="false">INDEX(Regions!$E:$E,MATCH(H43,Regions!$A:$A,0))</f>
        <v>10</v>
      </c>
      <c r="L43" s="5" t="n">
        <f aca="false">E43*F43</f>
        <v>446.56</v>
      </c>
      <c r="M43" s="5" t="n">
        <f aca="false">IF(E43&gt;=K43,L43*J43,0)</f>
        <v>0</v>
      </c>
      <c r="N43" s="5" t="n">
        <f aca="false">(L43-M43)*I43</f>
        <v>35.7248</v>
      </c>
      <c r="O43" s="5" t="n">
        <f aca="false">L43-M43+N43</f>
        <v>482.2848</v>
      </c>
    </row>
    <row r="44" customFormat="false" ht="15" hidden="false" customHeight="false" outlineLevel="0" collapsed="false">
      <c r="A44" s="4" t="s">
        <v>383</v>
      </c>
      <c r="B44" s="9" t="n">
        <v>46021</v>
      </c>
      <c r="C44" s="4" t="s">
        <v>103</v>
      </c>
      <c r="D44" s="4" t="s">
        <v>307</v>
      </c>
      <c r="E44" s="4" t="n">
        <v>8</v>
      </c>
      <c r="F44" s="5" t="n">
        <f aca="false">INDEX(Products!$E:$E,MATCH(C44,Products!$A:$A,0))</f>
        <v>125.31</v>
      </c>
      <c r="G44" s="4" t="str">
        <f aca="false">INDEX(Products!$C:$C,MATCH(C44,Products!$A:$A,0))</f>
        <v>Home &amp; Kitchen</v>
      </c>
      <c r="H44" s="4" t="str">
        <f aca="false">INDEX(Customers!$C:$C,MATCH(D44,Customers!$A:$A,0))</f>
        <v>R07</v>
      </c>
      <c r="I44" s="7" t="n">
        <f aca="false">INDEX(Regions!$C:$C,MATCH(H44,Regions!$A:$A,0))</f>
        <v>0.15</v>
      </c>
      <c r="J44" s="7" t="n">
        <f aca="false">INDEX(Regions!$D:$D,MATCH(H44,Regions!$A:$A,0))</f>
        <v>0.05</v>
      </c>
      <c r="K44" s="4" t="n">
        <f aca="false">INDEX(Regions!$E:$E,MATCH(H44,Regions!$A:$A,0))</f>
        <v>10</v>
      </c>
      <c r="L44" s="5" t="n">
        <f aca="false">E44*F44</f>
        <v>1002.48</v>
      </c>
      <c r="M44" s="5" t="n">
        <f aca="false">IF(E44&gt;=K44,L44*J44,0)</f>
        <v>0</v>
      </c>
      <c r="N44" s="5" t="n">
        <f aca="false">(L44-M44)*I44</f>
        <v>150.372</v>
      </c>
      <c r="O44" s="5" t="n">
        <f aca="false">L44-M44+N44</f>
        <v>1152.852</v>
      </c>
    </row>
    <row r="45" customFormat="false" ht="15" hidden="false" customHeight="false" outlineLevel="0" collapsed="false">
      <c r="A45" s="4" t="s">
        <v>384</v>
      </c>
      <c r="B45" s="9" t="n">
        <v>45665</v>
      </c>
      <c r="C45" s="4" t="s">
        <v>50</v>
      </c>
      <c r="D45" s="4" t="s">
        <v>210</v>
      </c>
      <c r="E45" s="4" t="n">
        <v>18</v>
      </c>
      <c r="F45" s="5" t="n">
        <f aca="false">INDEX(Products!$E:$E,MATCH(C45,Products!$A:$A,0))</f>
        <v>508.17</v>
      </c>
      <c r="G45" s="4" t="str">
        <f aca="false">INDEX(Products!$C:$C,MATCH(C45,Products!$A:$A,0))</f>
        <v>Office Supplies</v>
      </c>
      <c r="H45" s="4" t="str">
        <f aca="false">INDEX(Customers!$C:$C,MATCH(D45,Customers!$A:$A,0))</f>
        <v>R04</v>
      </c>
      <c r="I45" s="7" t="n">
        <f aca="false">INDEX(Regions!$C:$C,MATCH(H45,Regions!$A:$A,0))</f>
        <v>0.08</v>
      </c>
      <c r="J45" s="7" t="n">
        <f aca="false">INDEX(Regions!$D:$D,MATCH(H45,Regions!$A:$A,0))</f>
        <v>0.05</v>
      </c>
      <c r="K45" s="4" t="n">
        <f aca="false">INDEX(Regions!$E:$E,MATCH(H45,Regions!$A:$A,0))</f>
        <v>10</v>
      </c>
      <c r="L45" s="5" t="n">
        <f aca="false">E45*F45</f>
        <v>9147.06</v>
      </c>
      <c r="M45" s="5" t="n">
        <f aca="false">IF(E45&gt;=K45,L45*J45,0)</f>
        <v>457.353</v>
      </c>
      <c r="N45" s="5" t="n">
        <f aca="false">(L45-M45)*I45</f>
        <v>695.17656</v>
      </c>
      <c r="O45" s="5" t="n">
        <f aca="false">L45-M45+N45</f>
        <v>9384.88356</v>
      </c>
    </row>
    <row r="46" customFormat="false" ht="15" hidden="false" customHeight="false" outlineLevel="0" collapsed="false">
      <c r="A46" s="4" t="s">
        <v>385</v>
      </c>
      <c r="B46" s="9" t="n">
        <v>45773</v>
      </c>
      <c r="C46" s="4" t="s">
        <v>98</v>
      </c>
      <c r="D46" s="4" t="s">
        <v>233</v>
      </c>
      <c r="E46" s="4" t="n">
        <v>3</v>
      </c>
      <c r="F46" s="5" t="n">
        <f aca="false">INDEX(Products!$E:$E,MATCH(C46,Products!$A:$A,0))</f>
        <v>26.28</v>
      </c>
      <c r="G46" s="4" t="str">
        <f aca="false">INDEX(Products!$C:$C,MATCH(C46,Products!$A:$A,0))</f>
        <v>Home &amp; Kitchen</v>
      </c>
      <c r="H46" s="4" t="str">
        <f aca="false">INDEX(Customers!$C:$C,MATCH(D46,Customers!$A:$A,0))</f>
        <v>R05</v>
      </c>
      <c r="I46" s="7" t="n">
        <f aca="false">INDEX(Regions!$C:$C,MATCH(H46,Regions!$A:$A,0))</f>
        <v>0.0925</v>
      </c>
      <c r="J46" s="7" t="n">
        <f aca="false">INDEX(Regions!$D:$D,MATCH(H46,Regions!$A:$A,0))</f>
        <v>0.06</v>
      </c>
      <c r="K46" s="4" t="n">
        <f aca="false">INDEX(Regions!$E:$E,MATCH(H46,Regions!$A:$A,0))</f>
        <v>8</v>
      </c>
      <c r="L46" s="5" t="n">
        <f aca="false">E46*F46</f>
        <v>78.84</v>
      </c>
      <c r="M46" s="5" t="n">
        <f aca="false">IF(E46&gt;=K46,L46*J46,0)</f>
        <v>0</v>
      </c>
      <c r="N46" s="5" t="n">
        <f aca="false">(L46-M46)*I46</f>
        <v>7.2927</v>
      </c>
      <c r="O46" s="5" t="n">
        <f aca="false">L46-M46+N46</f>
        <v>86.1327</v>
      </c>
    </row>
    <row r="47" customFormat="false" ht="15" hidden="false" customHeight="false" outlineLevel="0" collapsed="false">
      <c r="A47" s="4" t="s">
        <v>386</v>
      </c>
      <c r="B47" s="9" t="n">
        <v>45989</v>
      </c>
      <c r="C47" s="4" t="s">
        <v>44</v>
      </c>
      <c r="D47" s="4" t="s">
        <v>244</v>
      </c>
      <c r="E47" s="4" t="n">
        <v>4</v>
      </c>
      <c r="F47" s="5" t="n">
        <f aca="false">INDEX(Products!$E:$E,MATCH(C47,Products!$A:$A,0))</f>
        <v>393.99</v>
      </c>
      <c r="G47" s="4" t="str">
        <f aca="false">INDEX(Products!$C:$C,MATCH(C47,Products!$A:$A,0))</f>
        <v>Office Supplies</v>
      </c>
      <c r="H47" s="4" t="str">
        <f aca="false">INDEX(Customers!$C:$C,MATCH(D47,Customers!$A:$A,0))</f>
        <v>R07</v>
      </c>
      <c r="I47" s="7" t="n">
        <f aca="false">INDEX(Regions!$C:$C,MATCH(H47,Regions!$A:$A,0))</f>
        <v>0.15</v>
      </c>
      <c r="J47" s="7" t="n">
        <f aca="false">INDEX(Regions!$D:$D,MATCH(H47,Regions!$A:$A,0))</f>
        <v>0.05</v>
      </c>
      <c r="K47" s="4" t="n">
        <f aca="false">INDEX(Regions!$E:$E,MATCH(H47,Regions!$A:$A,0))</f>
        <v>10</v>
      </c>
      <c r="L47" s="5" t="n">
        <f aca="false">E47*F47</f>
        <v>1575.96</v>
      </c>
      <c r="M47" s="5" t="n">
        <f aca="false">IF(E47&gt;=K47,L47*J47,0)</f>
        <v>0</v>
      </c>
      <c r="N47" s="5" t="n">
        <f aca="false">(L47-M47)*I47</f>
        <v>236.394</v>
      </c>
      <c r="O47" s="5" t="n">
        <f aca="false">L47-M47+N47</f>
        <v>1812.354</v>
      </c>
    </row>
    <row r="48" customFormat="false" ht="15" hidden="false" customHeight="false" outlineLevel="0" collapsed="false">
      <c r="A48" s="4" t="s">
        <v>387</v>
      </c>
      <c r="B48" s="9" t="n">
        <v>45807</v>
      </c>
      <c r="C48" s="4" t="s">
        <v>49</v>
      </c>
      <c r="D48" s="4" t="s">
        <v>251</v>
      </c>
      <c r="E48" s="4" t="n">
        <v>30</v>
      </c>
      <c r="F48" s="5" t="n">
        <f aca="false">INDEX(Products!$E:$E,MATCH(C48,Products!$A:$A,0))</f>
        <v>229.76</v>
      </c>
      <c r="G48" s="4" t="str">
        <f aca="false">INDEX(Products!$C:$C,MATCH(C48,Products!$A:$A,0))</f>
        <v>Home &amp; Kitchen</v>
      </c>
      <c r="H48" s="4" t="str">
        <f aca="false">INDEX(Customers!$C:$C,MATCH(D48,Customers!$A:$A,0))</f>
        <v>R03</v>
      </c>
      <c r="I48" s="7" t="n">
        <f aca="false">INDEX(Regions!$C:$C,MATCH(H48,Regions!$A:$A,0))</f>
        <v>0.0625</v>
      </c>
      <c r="J48" s="7" t="n">
        <f aca="false">INDEX(Regions!$D:$D,MATCH(H48,Regions!$A:$A,0))</f>
        <v>0.03</v>
      </c>
      <c r="K48" s="4" t="n">
        <f aca="false">INDEX(Regions!$E:$E,MATCH(H48,Regions!$A:$A,0))</f>
        <v>15</v>
      </c>
      <c r="L48" s="5" t="n">
        <f aca="false">E48*F48</f>
        <v>6892.8</v>
      </c>
      <c r="M48" s="5" t="n">
        <f aca="false">IF(E48&gt;=K48,L48*J48,0)</f>
        <v>206.784</v>
      </c>
      <c r="N48" s="5" t="n">
        <f aca="false">(L48-M48)*I48</f>
        <v>417.876</v>
      </c>
      <c r="O48" s="5" t="n">
        <f aca="false">L48-M48+N48</f>
        <v>7103.892</v>
      </c>
    </row>
    <row r="49" customFormat="false" ht="15" hidden="false" customHeight="false" outlineLevel="0" collapsed="false">
      <c r="A49" s="4" t="s">
        <v>388</v>
      </c>
      <c r="B49" s="9" t="n">
        <v>45870</v>
      </c>
      <c r="C49" s="4" t="s">
        <v>92</v>
      </c>
      <c r="D49" s="4" t="s">
        <v>291</v>
      </c>
      <c r="E49" s="4" t="n">
        <v>9</v>
      </c>
      <c r="F49" s="5" t="n">
        <f aca="false">INDEX(Products!$E:$E,MATCH(C49,Products!$A:$A,0))</f>
        <v>333.4</v>
      </c>
      <c r="G49" s="4" t="str">
        <f aca="false">INDEX(Products!$C:$C,MATCH(C49,Products!$A:$A,0))</f>
        <v>Outdoor</v>
      </c>
      <c r="H49" s="4" t="str">
        <f aca="false">INDEX(Customers!$C:$C,MATCH(D49,Customers!$A:$A,0))</f>
        <v>R02</v>
      </c>
      <c r="I49" s="7" t="n">
        <f aca="false">INDEX(Regions!$C:$C,MATCH(H49,Regions!$A:$A,0))</f>
        <v>0.07</v>
      </c>
      <c r="J49" s="7" t="n">
        <f aca="false">INDEX(Regions!$D:$D,MATCH(H49,Regions!$A:$A,0))</f>
        <v>0.04</v>
      </c>
      <c r="K49" s="4" t="n">
        <f aca="false">INDEX(Regions!$E:$E,MATCH(H49,Regions!$A:$A,0))</f>
        <v>12</v>
      </c>
      <c r="L49" s="5" t="n">
        <f aca="false">E49*F49</f>
        <v>3000.6</v>
      </c>
      <c r="M49" s="5" t="n">
        <f aca="false">IF(E49&gt;=K49,L49*J49,0)</f>
        <v>0</v>
      </c>
      <c r="N49" s="5" t="n">
        <f aca="false">(L49-M49)*I49</f>
        <v>210.042</v>
      </c>
      <c r="O49" s="5" t="n">
        <f aca="false">L49-M49+N49</f>
        <v>3210.642</v>
      </c>
    </row>
    <row r="50" customFormat="false" ht="15" hidden="false" customHeight="false" outlineLevel="0" collapsed="false">
      <c r="A50" s="4" t="s">
        <v>389</v>
      </c>
      <c r="B50" s="9" t="n">
        <v>45891</v>
      </c>
      <c r="C50" s="4" t="s">
        <v>88</v>
      </c>
      <c r="D50" s="4" t="s">
        <v>246</v>
      </c>
      <c r="E50" s="4" t="n">
        <v>8</v>
      </c>
      <c r="F50" s="5" t="n">
        <f aca="false">INDEX(Products!$E:$E,MATCH(C50,Products!$A:$A,0))</f>
        <v>94.16</v>
      </c>
      <c r="G50" s="4" t="str">
        <f aca="false">INDEX(Products!$C:$C,MATCH(C50,Products!$A:$A,0))</f>
        <v>Office Supplies</v>
      </c>
      <c r="H50" s="4" t="str">
        <f aca="false">INDEX(Customers!$C:$C,MATCH(D50,Customers!$A:$A,0))</f>
        <v>R08</v>
      </c>
      <c r="I50" s="7" t="n">
        <f aca="false">INDEX(Regions!$C:$C,MATCH(H50,Regions!$A:$A,0))</f>
        <v>0.12</v>
      </c>
      <c r="J50" s="7" t="n">
        <f aca="false">INDEX(Regions!$D:$D,MATCH(H50,Regions!$A:$A,0))</f>
        <v>0.04</v>
      </c>
      <c r="K50" s="4" t="n">
        <f aca="false">INDEX(Regions!$E:$E,MATCH(H50,Regions!$A:$A,0))</f>
        <v>12</v>
      </c>
      <c r="L50" s="5" t="n">
        <f aca="false">E50*F50</f>
        <v>753.28</v>
      </c>
      <c r="M50" s="5" t="n">
        <f aca="false">IF(E50&gt;=K50,L50*J50,0)</f>
        <v>0</v>
      </c>
      <c r="N50" s="5" t="n">
        <f aca="false">(L50-M50)*I50</f>
        <v>90.3936</v>
      </c>
      <c r="O50" s="5" t="n">
        <f aca="false">L50-M50+N50</f>
        <v>843.6736</v>
      </c>
    </row>
    <row r="51" customFormat="false" ht="15" hidden="false" customHeight="false" outlineLevel="0" collapsed="false">
      <c r="A51" s="4" t="s">
        <v>390</v>
      </c>
      <c r="B51" s="9" t="n">
        <v>45755</v>
      </c>
      <c r="C51" s="4" t="s">
        <v>98</v>
      </c>
      <c r="D51" s="4" t="s">
        <v>171</v>
      </c>
      <c r="E51" s="4" t="n">
        <v>13</v>
      </c>
      <c r="F51" s="5" t="n">
        <f aca="false">INDEX(Products!$E:$E,MATCH(C51,Products!$A:$A,0))</f>
        <v>26.28</v>
      </c>
      <c r="G51" s="4" t="str">
        <f aca="false">INDEX(Products!$C:$C,MATCH(C51,Products!$A:$A,0))</f>
        <v>Home &amp; Kitchen</v>
      </c>
      <c r="H51" s="4" t="str">
        <f aca="false">INDEX(Customers!$C:$C,MATCH(D51,Customers!$A:$A,0))</f>
        <v>R05</v>
      </c>
      <c r="I51" s="7" t="n">
        <f aca="false">INDEX(Regions!$C:$C,MATCH(H51,Regions!$A:$A,0))</f>
        <v>0.0925</v>
      </c>
      <c r="J51" s="7" t="n">
        <f aca="false">INDEX(Regions!$D:$D,MATCH(H51,Regions!$A:$A,0))</f>
        <v>0.06</v>
      </c>
      <c r="K51" s="4" t="n">
        <f aca="false">INDEX(Regions!$E:$E,MATCH(H51,Regions!$A:$A,0))</f>
        <v>8</v>
      </c>
      <c r="L51" s="5" t="n">
        <f aca="false">E51*F51</f>
        <v>341.64</v>
      </c>
      <c r="M51" s="5" t="n">
        <f aca="false">IF(E51&gt;=K51,L51*J51,0)</f>
        <v>20.4984</v>
      </c>
      <c r="N51" s="5" t="n">
        <f aca="false">(L51-M51)*I51</f>
        <v>29.705598</v>
      </c>
      <c r="O51" s="5" t="n">
        <f aca="false">L51-M51+N51</f>
        <v>350.847198</v>
      </c>
    </row>
    <row r="52" customFormat="false" ht="15" hidden="false" customHeight="false" outlineLevel="0" collapsed="false">
      <c r="A52" s="4" t="s">
        <v>391</v>
      </c>
      <c r="B52" s="9" t="n">
        <v>45727</v>
      </c>
      <c r="C52" s="4" t="s">
        <v>103</v>
      </c>
      <c r="D52" s="4" t="s">
        <v>254</v>
      </c>
      <c r="E52" s="4" t="n">
        <v>24</v>
      </c>
      <c r="F52" s="5" t="n">
        <f aca="false">INDEX(Products!$E:$E,MATCH(C52,Products!$A:$A,0))</f>
        <v>125.31</v>
      </c>
      <c r="G52" s="4" t="str">
        <f aca="false">INDEX(Products!$C:$C,MATCH(C52,Products!$A:$A,0))</f>
        <v>Home &amp; Kitchen</v>
      </c>
      <c r="H52" s="4" t="str">
        <f aca="false">INDEX(Customers!$C:$C,MATCH(D52,Customers!$A:$A,0))</f>
        <v>R07</v>
      </c>
      <c r="I52" s="7" t="n">
        <f aca="false">INDEX(Regions!$C:$C,MATCH(H52,Regions!$A:$A,0))</f>
        <v>0.15</v>
      </c>
      <c r="J52" s="7" t="n">
        <f aca="false">INDEX(Regions!$D:$D,MATCH(H52,Regions!$A:$A,0))</f>
        <v>0.05</v>
      </c>
      <c r="K52" s="4" t="n">
        <f aca="false">INDEX(Regions!$E:$E,MATCH(H52,Regions!$A:$A,0))</f>
        <v>10</v>
      </c>
      <c r="L52" s="5" t="n">
        <f aca="false">E52*F52</f>
        <v>3007.44</v>
      </c>
      <c r="M52" s="5" t="n">
        <f aca="false">IF(E52&gt;=K52,L52*J52,0)</f>
        <v>150.372</v>
      </c>
      <c r="N52" s="5" t="n">
        <f aca="false">(L52-M52)*I52</f>
        <v>428.5602</v>
      </c>
      <c r="O52" s="5" t="n">
        <f aca="false">L52-M52+N52</f>
        <v>3285.6282</v>
      </c>
    </row>
    <row r="53" customFormat="false" ht="15" hidden="false" customHeight="false" outlineLevel="0" collapsed="false">
      <c r="A53" s="4" t="s">
        <v>392</v>
      </c>
      <c r="B53" s="9" t="n">
        <v>45870</v>
      </c>
      <c r="C53" s="4" t="s">
        <v>37</v>
      </c>
      <c r="D53" s="4" t="s">
        <v>203</v>
      </c>
      <c r="E53" s="4" t="n">
        <v>25</v>
      </c>
      <c r="F53" s="5" t="n">
        <f aca="false">INDEX(Products!$E:$E,MATCH(C53,Products!$A:$A,0))</f>
        <v>267.59</v>
      </c>
      <c r="G53" s="4" t="str">
        <f aca="false">INDEX(Products!$C:$C,MATCH(C53,Products!$A:$A,0))</f>
        <v>Electronics</v>
      </c>
      <c r="H53" s="4" t="str">
        <f aca="false">INDEX(Customers!$C:$C,MATCH(D53,Customers!$A:$A,0))</f>
        <v>R07</v>
      </c>
      <c r="I53" s="7" t="n">
        <f aca="false">INDEX(Regions!$C:$C,MATCH(H53,Regions!$A:$A,0))</f>
        <v>0.15</v>
      </c>
      <c r="J53" s="7" t="n">
        <f aca="false">INDEX(Regions!$D:$D,MATCH(H53,Regions!$A:$A,0))</f>
        <v>0.05</v>
      </c>
      <c r="K53" s="4" t="n">
        <f aca="false">INDEX(Regions!$E:$E,MATCH(H53,Regions!$A:$A,0))</f>
        <v>10</v>
      </c>
      <c r="L53" s="5" t="n">
        <f aca="false">E53*F53</f>
        <v>6689.75</v>
      </c>
      <c r="M53" s="5" t="n">
        <f aca="false">IF(E53&gt;=K53,L53*J53,0)</f>
        <v>334.4875</v>
      </c>
      <c r="N53" s="5" t="n">
        <f aca="false">(L53-M53)*I53</f>
        <v>953.289375</v>
      </c>
      <c r="O53" s="5" t="n">
        <f aca="false">L53-M53+N53</f>
        <v>7308.551875</v>
      </c>
    </row>
    <row r="54" customFormat="false" ht="15" hidden="false" customHeight="false" outlineLevel="0" collapsed="false">
      <c r="A54" s="4" t="s">
        <v>393</v>
      </c>
      <c r="B54" s="9" t="n">
        <v>45917</v>
      </c>
      <c r="C54" s="4" t="s">
        <v>71</v>
      </c>
      <c r="D54" s="4" t="s">
        <v>333</v>
      </c>
      <c r="E54" s="4" t="n">
        <v>26</v>
      </c>
      <c r="F54" s="5" t="n">
        <f aca="false">INDEX(Products!$E:$E,MATCH(C54,Products!$A:$A,0))</f>
        <v>59.51</v>
      </c>
      <c r="G54" s="4" t="str">
        <f aca="false">INDEX(Products!$C:$C,MATCH(C54,Products!$A:$A,0))</f>
        <v>Electronics</v>
      </c>
      <c r="H54" s="4" t="str">
        <f aca="false">INDEX(Customers!$C:$C,MATCH(D54,Customers!$A:$A,0))</f>
        <v>R02</v>
      </c>
      <c r="I54" s="7" t="n">
        <f aca="false">INDEX(Regions!$C:$C,MATCH(H54,Regions!$A:$A,0))</f>
        <v>0.07</v>
      </c>
      <c r="J54" s="7" t="n">
        <f aca="false">INDEX(Regions!$D:$D,MATCH(H54,Regions!$A:$A,0))</f>
        <v>0.04</v>
      </c>
      <c r="K54" s="4" t="n">
        <f aca="false">INDEX(Regions!$E:$E,MATCH(H54,Regions!$A:$A,0))</f>
        <v>12</v>
      </c>
      <c r="L54" s="5" t="n">
        <f aca="false">E54*F54</f>
        <v>1547.26</v>
      </c>
      <c r="M54" s="5" t="n">
        <f aca="false">IF(E54&gt;=K54,L54*J54,0)</f>
        <v>61.8904</v>
      </c>
      <c r="N54" s="5" t="n">
        <f aca="false">(L54-M54)*I54</f>
        <v>103.975872</v>
      </c>
      <c r="O54" s="5" t="n">
        <f aca="false">L54-M54+N54</f>
        <v>1589.345472</v>
      </c>
    </row>
    <row r="55" customFormat="false" ht="15" hidden="false" customHeight="false" outlineLevel="0" collapsed="false">
      <c r="A55" s="4" t="s">
        <v>394</v>
      </c>
      <c r="B55" s="9" t="n">
        <v>45802</v>
      </c>
      <c r="C55" s="4" t="s">
        <v>64</v>
      </c>
      <c r="D55" s="4" t="s">
        <v>311</v>
      </c>
      <c r="E55" s="4" t="n">
        <v>1</v>
      </c>
      <c r="F55" s="5" t="n">
        <f aca="false">INDEX(Products!$E:$E,MATCH(C55,Products!$A:$A,0))</f>
        <v>340.32</v>
      </c>
      <c r="G55" s="4" t="str">
        <f aca="false">INDEX(Products!$C:$C,MATCH(C55,Products!$A:$A,0))</f>
        <v>Apparel</v>
      </c>
      <c r="H55" s="4" t="str">
        <f aca="false">INDEX(Customers!$C:$C,MATCH(D55,Customers!$A:$A,0))</f>
        <v>R06</v>
      </c>
      <c r="I55" s="7" t="n">
        <f aca="false">INDEX(Regions!$C:$C,MATCH(H55,Regions!$A:$A,0))</f>
        <v>0.06</v>
      </c>
      <c r="J55" s="7" t="n">
        <f aca="false">INDEX(Regions!$D:$D,MATCH(H55,Regions!$A:$A,0))</f>
        <v>0.04</v>
      </c>
      <c r="K55" s="4" t="n">
        <f aca="false">INDEX(Regions!$E:$E,MATCH(H55,Regions!$A:$A,0))</f>
        <v>12</v>
      </c>
      <c r="L55" s="5" t="n">
        <f aca="false">E55*F55</f>
        <v>340.32</v>
      </c>
      <c r="M55" s="5" t="n">
        <f aca="false">IF(E55&gt;=K55,L55*J55,0)</f>
        <v>0</v>
      </c>
      <c r="N55" s="5" t="n">
        <f aca="false">(L55-M55)*I55</f>
        <v>20.4192</v>
      </c>
      <c r="O55" s="5" t="n">
        <f aca="false">L55-M55+N55</f>
        <v>360.7392</v>
      </c>
    </row>
    <row r="56" customFormat="false" ht="15" hidden="false" customHeight="false" outlineLevel="0" collapsed="false">
      <c r="A56" s="4" t="s">
        <v>395</v>
      </c>
      <c r="B56" s="9" t="n">
        <v>45954</v>
      </c>
      <c r="C56" s="4" t="s">
        <v>67</v>
      </c>
      <c r="D56" s="4" t="s">
        <v>315</v>
      </c>
      <c r="E56" s="4" t="n">
        <v>19</v>
      </c>
      <c r="F56" s="5" t="n">
        <f aca="false">INDEX(Products!$E:$E,MATCH(C56,Products!$A:$A,0))</f>
        <v>198.43</v>
      </c>
      <c r="G56" s="4" t="str">
        <f aca="false">INDEX(Products!$C:$C,MATCH(C56,Products!$A:$A,0))</f>
        <v>Apparel</v>
      </c>
      <c r="H56" s="4" t="str">
        <f aca="false">INDEX(Customers!$C:$C,MATCH(D56,Customers!$A:$A,0))</f>
        <v>R05</v>
      </c>
      <c r="I56" s="7" t="n">
        <f aca="false">INDEX(Regions!$C:$C,MATCH(H56,Regions!$A:$A,0))</f>
        <v>0.0925</v>
      </c>
      <c r="J56" s="7" t="n">
        <f aca="false">INDEX(Regions!$D:$D,MATCH(H56,Regions!$A:$A,0))</f>
        <v>0.06</v>
      </c>
      <c r="K56" s="4" t="n">
        <f aca="false">INDEX(Regions!$E:$E,MATCH(H56,Regions!$A:$A,0))</f>
        <v>8</v>
      </c>
      <c r="L56" s="5" t="n">
        <f aca="false">E56*F56</f>
        <v>3770.17</v>
      </c>
      <c r="M56" s="5" t="n">
        <f aca="false">IF(E56&gt;=K56,L56*J56,0)</f>
        <v>226.2102</v>
      </c>
      <c r="N56" s="5" t="n">
        <f aca="false">(L56-M56)*I56</f>
        <v>327.8162815</v>
      </c>
      <c r="O56" s="5" t="n">
        <f aca="false">L56-M56+N56</f>
        <v>3871.7760815</v>
      </c>
    </row>
    <row r="57" customFormat="false" ht="15" hidden="false" customHeight="false" outlineLevel="0" collapsed="false">
      <c r="A57" s="4" t="s">
        <v>396</v>
      </c>
      <c r="B57" s="9" t="n">
        <v>45886</v>
      </c>
      <c r="C57" s="4" t="s">
        <v>90</v>
      </c>
      <c r="D57" s="4" t="s">
        <v>319</v>
      </c>
      <c r="E57" s="4" t="n">
        <v>5</v>
      </c>
      <c r="F57" s="5" t="n">
        <f aca="false">INDEX(Products!$E:$E,MATCH(C57,Products!$A:$A,0))</f>
        <v>446.56</v>
      </c>
      <c r="G57" s="4" t="str">
        <f aca="false">INDEX(Products!$C:$C,MATCH(C57,Products!$A:$A,0))</f>
        <v>Outdoor</v>
      </c>
      <c r="H57" s="4" t="str">
        <f aca="false">INDEX(Customers!$C:$C,MATCH(D57,Customers!$A:$A,0))</f>
        <v>R05</v>
      </c>
      <c r="I57" s="7" t="n">
        <f aca="false">INDEX(Regions!$C:$C,MATCH(H57,Regions!$A:$A,0))</f>
        <v>0.0925</v>
      </c>
      <c r="J57" s="7" t="n">
        <f aca="false">INDEX(Regions!$D:$D,MATCH(H57,Regions!$A:$A,0))</f>
        <v>0.06</v>
      </c>
      <c r="K57" s="4" t="n">
        <f aca="false">INDEX(Regions!$E:$E,MATCH(H57,Regions!$A:$A,0))</f>
        <v>8</v>
      </c>
      <c r="L57" s="5" t="n">
        <f aca="false">E57*F57</f>
        <v>2232.8</v>
      </c>
      <c r="M57" s="5" t="n">
        <f aca="false">IF(E57&gt;=K57,L57*J57,0)</f>
        <v>0</v>
      </c>
      <c r="N57" s="5" t="n">
        <f aca="false">(L57-M57)*I57</f>
        <v>206.534</v>
      </c>
      <c r="O57" s="5" t="n">
        <f aca="false">L57-M57+N57</f>
        <v>2439.334</v>
      </c>
    </row>
    <row r="58" customFormat="false" ht="15" hidden="false" customHeight="false" outlineLevel="0" collapsed="false">
      <c r="A58" s="4" t="s">
        <v>397</v>
      </c>
      <c r="B58" s="9" t="n">
        <v>45828</v>
      </c>
      <c r="C58" s="4" t="s">
        <v>96</v>
      </c>
      <c r="D58" s="4" t="s">
        <v>248</v>
      </c>
      <c r="E58" s="4" t="n">
        <v>12</v>
      </c>
      <c r="F58" s="5" t="n">
        <f aca="false">INDEX(Products!$E:$E,MATCH(C58,Products!$A:$A,0))</f>
        <v>195.64</v>
      </c>
      <c r="G58" s="4" t="str">
        <f aca="false">INDEX(Products!$C:$C,MATCH(C58,Products!$A:$A,0))</f>
        <v>Office Supplies</v>
      </c>
      <c r="H58" s="4" t="str">
        <f aca="false">INDEX(Customers!$C:$C,MATCH(D58,Customers!$A:$A,0))</f>
        <v>R02</v>
      </c>
      <c r="I58" s="7" t="n">
        <f aca="false">INDEX(Regions!$C:$C,MATCH(H58,Regions!$A:$A,0))</f>
        <v>0.07</v>
      </c>
      <c r="J58" s="7" t="n">
        <f aca="false">INDEX(Regions!$D:$D,MATCH(H58,Regions!$A:$A,0))</f>
        <v>0.04</v>
      </c>
      <c r="K58" s="4" t="n">
        <f aca="false">INDEX(Regions!$E:$E,MATCH(H58,Regions!$A:$A,0))</f>
        <v>12</v>
      </c>
      <c r="L58" s="5" t="n">
        <f aca="false">E58*F58</f>
        <v>2347.68</v>
      </c>
      <c r="M58" s="5" t="n">
        <f aca="false">IF(E58&gt;=K58,L58*J58,0)</f>
        <v>93.9072</v>
      </c>
      <c r="N58" s="5" t="n">
        <f aca="false">(L58-M58)*I58</f>
        <v>157.764096</v>
      </c>
      <c r="O58" s="5" t="n">
        <f aca="false">L58-M58+N58</f>
        <v>2411.536896</v>
      </c>
    </row>
    <row r="59" customFormat="false" ht="15" hidden="false" customHeight="false" outlineLevel="0" collapsed="false">
      <c r="A59" s="4" t="s">
        <v>398</v>
      </c>
      <c r="B59" s="9" t="n">
        <v>45851</v>
      </c>
      <c r="C59" s="4" t="s">
        <v>98</v>
      </c>
      <c r="D59" s="4" t="s">
        <v>301</v>
      </c>
      <c r="E59" s="4" t="n">
        <v>18</v>
      </c>
      <c r="F59" s="5" t="n">
        <f aca="false">INDEX(Products!$E:$E,MATCH(C59,Products!$A:$A,0))</f>
        <v>26.28</v>
      </c>
      <c r="G59" s="4" t="str">
        <f aca="false">INDEX(Products!$C:$C,MATCH(C59,Products!$A:$A,0))</f>
        <v>Home &amp; Kitchen</v>
      </c>
      <c r="H59" s="4" t="str">
        <f aca="false">INDEX(Customers!$C:$C,MATCH(D59,Customers!$A:$A,0))</f>
        <v>R08</v>
      </c>
      <c r="I59" s="7" t="n">
        <f aca="false">INDEX(Regions!$C:$C,MATCH(H59,Regions!$A:$A,0))</f>
        <v>0.12</v>
      </c>
      <c r="J59" s="7" t="n">
        <f aca="false">INDEX(Regions!$D:$D,MATCH(H59,Regions!$A:$A,0))</f>
        <v>0.04</v>
      </c>
      <c r="K59" s="4" t="n">
        <f aca="false">INDEX(Regions!$E:$E,MATCH(H59,Regions!$A:$A,0))</f>
        <v>12</v>
      </c>
      <c r="L59" s="5" t="n">
        <f aca="false">E59*F59</f>
        <v>473.04</v>
      </c>
      <c r="M59" s="5" t="n">
        <f aca="false">IF(E59&gt;=K59,L59*J59,0)</f>
        <v>18.9216</v>
      </c>
      <c r="N59" s="5" t="n">
        <f aca="false">(L59-M59)*I59</f>
        <v>54.494208</v>
      </c>
      <c r="O59" s="5" t="n">
        <f aca="false">L59-M59+N59</f>
        <v>508.612608</v>
      </c>
    </row>
    <row r="60" customFormat="false" ht="15" hidden="false" customHeight="false" outlineLevel="0" collapsed="false">
      <c r="A60" s="4" t="s">
        <v>399</v>
      </c>
      <c r="B60" s="9" t="n">
        <v>45754</v>
      </c>
      <c r="C60" s="4" t="s">
        <v>86</v>
      </c>
      <c r="D60" s="4" t="s">
        <v>333</v>
      </c>
      <c r="E60" s="4" t="n">
        <v>11</v>
      </c>
      <c r="F60" s="5" t="n">
        <f aca="false">INDEX(Products!$E:$E,MATCH(C60,Products!$A:$A,0))</f>
        <v>169.14</v>
      </c>
      <c r="G60" s="4" t="str">
        <f aca="false">INDEX(Products!$C:$C,MATCH(C60,Products!$A:$A,0))</f>
        <v>Office Supplies</v>
      </c>
      <c r="H60" s="4" t="str">
        <f aca="false">INDEX(Customers!$C:$C,MATCH(D60,Customers!$A:$A,0))</f>
        <v>R02</v>
      </c>
      <c r="I60" s="7" t="n">
        <f aca="false">INDEX(Regions!$C:$C,MATCH(H60,Regions!$A:$A,0))</f>
        <v>0.07</v>
      </c>
      <c r="J60" s="7" t="n">
        <f aca="false">INDEX(Regions!$D:$D,MATCH(H60,Regions!$A:$A,0))</f>
        <v>0.04</v>
      </c>
      <c r="K60" s="4" t="n">
        <f aca="false">INDEX(Regions!$E:$E,MATCH(H60,Regions!$A:$A,0))</f>
        <v>12</v>
      </c>
      <c r="L60" s="5" t="n">
        <f aca="false">E60*F60</f>
        <v>1860.54</v>
      </c>
      <c r="M60" s="5" t="n">
        <f aca="false">IF(E60&gt;=K60,L60*J60,0)</f>
        <v>0</v>
      </c>
      <c r="N60" s="5" t="n">
        <f aca="false">(L60-M60)*I60</f>
        <v>130.2378</v>
      </c>
      <c r="O60" s="5" t="n">
        <f aca="false">L60-M60+N60</f>
        <v>1990.7778</v>
      </c>
    </row>
    <row r="61" customFormat="false" ht="15" hidden="false" customHeight="false" outlineLevel="0" collapsed="false">
      <c r="A61" s="4" t="s">
        <v>400</v>
      </c>
      <c r="B61" s="9" t="n">
        <v>45777</v>
      </c>
      <c r="C61" s="4" t="s">
        <v>60</v>
      </c>
      <c r="D61" s="4" t="s">
        <v>266</v>
      </c>
      <c r="E61" s="4" t="n">
        <v>13</v>
      </c>
      <c r="F61" s="5" t="n">
        <f aca="false">INDEX(Products!$E:$E,MATCH(C61,Products!$A:$A,0))</f>
        <v>420.29</v>
      </c>
      <c r="G61" s="4" t="str">
        <f aca="false">INDEX(Products!$C:$C,MATCH(C61,Products!$A:$A,0))</f>
        <v>Office Supplies</v>
      </c>
      <c r="H61" s="4" t="str">
        <f aca="false">INDEX(Customers!$C:$C,MATCH(D61,Customers!$A:$A,0))</f>
        <v>R05</v>
      </c>
      <c r="I61" s="7" t="n">
        <f aca="false">INDEX(Regions!$C:$C,MATCH(H61,Regions!$A:$A,0))</f>
        <v>0.0925</v>
      </c>
      <c r="J61" s="7" t="n">
        <f aca="false">INDEX(Regions!$D:$D,MATCH(H61,Regions!$A:$A,0))</f>
        <v>0.06</v>
      </c>
      <c r="K61" s="4" t="n">
        <f aca="false">INDEX(Regions!$E:$E,MATCH(H61,Regions!$A:$A,0))</f>
        <v>8</v>
      </c>
      <c r="L61" s="5" t="n">
        <f aca="false">E61*F61</f>
        <v>5463.77</v>
      </c>
      <c r="M61" s="5" t="n">
        <f aca="false">IF(E61&gt;=K61,L61*J61,0)</f>
        <v>327.8262</v>
      </c>
      <c r="N61" s="5" t="n">
        <f aca="false">(L61-M61)*I61</f>
        <v>475.0748015</v>
      </c>
      <c r="O61" s="5" t="n">
        <f aca="false">L61-M61+N61</f>
        <v>5611.0186015</v>
      </c>
    </row>
    <row r="62" customFormat="false" ht="15" hidden="false" customHeight="false" outlineLevel="0" collapsed="false">
      <c r="A62" s="4" t="s">
        <v>401</v>
      </c>
      <c r="B62" s="9" t="n">
        <v>45900</v>
      </c>
      <c r="C62" s="4" t="s">
        <v>80</v>
      </c>
      <c r="D62" s="4" t="s">
        <v>144</v>
      </c>
      <c r="E62" s="4" t="n">
        <v>11</v>
      </c>
      <c r="F62" s="5" t="n">
        <f aca="false">INDEX(Products!$E:$E,MATCH(C62,Products!$A:$A,0))</f>
        <v>479.87</v>
      </c>
      <c r="G62" s="4" t="str">
        <f aca="false">INDEX(Products!$C:$C,MATCH(C62,Products!$A:$A,0))</f>
        <v>Office Supplies</v>
      </c>
      <c r="H62" s="4" t="str">
        <f aca="false">INDEX(Customers!$C:$C,MATCH(D62,Customers!$A:$A,0))</f>
        <v>R08</v>
      </c>
      <c r="I62" s="7" t="n">
        <f aca="false">INDEX(Regions!$C:$C,MATCH(H62,Regions!$A:$A,0))</f>
        <v>0.12</v>
      </c>
      <c r="J62" s="7" t="n">
        <f aca="false">INDEX(Regions!$D:$D,MATCH(H62,Regions!$A:$A,0))</f>
        <v>0.04</v>
      </c>
      <c r="K62" s="4" t="n">
        <f aca="false">INDEX(Regions!$E:$E,MATCH(H62,Regions!$A:$A,0))</f>
        <v>12</v>
      </c>
      <c r="L62" s="5" t="n">
        <f aca="false">E62*F62</f>
        <v>5278.57</v>
      </c>
      <c r="M62" s="5" t="n">
        <f aca="false">IF(E62&gt;=K62,L62*J62,0)</f>
        <v>0</v>
      </c>
      <c r="N62" s="5" t="n">
        <f aca="false">(L62-M62)*I62</f>
        <v>633.4284</v>
      </c>
      <c r="O62" s="5" t="n">
        <f aca="false">L62-M62+N62</f>
        <v>5911.9984</v>
      </c>
    </row>
    <row r="63" customFormat="false" ht="15" hidden="false" customHeight="false" outlineLevel="0" collapsed="false">
      <c r="A63" s="4" t="s">
        <v>402</v>
      </c>
      <c r="B63" s="9" t="n">
        <v>45991</v>
      </c>
      <c r="C63" s="4" t="s">
        <v>77</v>
      </c>
      <c r="D63" s="4" t="s">
        <v>228</v>
      </c>
      <c r="E63" s="4" t="n">
        <v>22</v>
      </c>
      <c r="F63" s="5" t="n">
        <f aca="false">INDEX(Products!$E:$E,MATCH(C63,Products!$A:$A,0))</f>
        <v>302.78</v>
      </c>
      <c r="G63" s="4" t="str">
        <f aca="false">INDEX(Products!$C:$C,MATCH(C63,Products!$A:$A,0))</f>
        <v>Electronics</v>
      </c>
      <c r="H63" s="4" t="str">
        <f aca="false">INDEX(Customers!$C:$C,MATCH(D63,Customers!$A:$A,0))</f>
        <v>R06</v>
      </c>
      <c r="I63" s="7" t="n">
        <f aca="false">INDEX(Regions!$C:$C,MATCH(H63,Regions!$A:$A,0))</f>
        <v>0.06</v>
      </c>
      <c r="J63" s="7" t="n">
        <f aca="false">INDEX(Regions!$D:$D,MATCH(H63,Regions!$A:$A,0))</f>
        <v>0.04</v>
      </c>
      <c r="K63" s="4" t="n">
        <f aca="false">INDEX(Regions!$E:$E,MATCH(H63,Regions!$A:$A,0))</f>
        <v>12</v>
      </c>
      <c r="L63" s="5" t="n">
        <f aca="false">E63*F63</f>
        <v>6661.16</v>
      </c>
      <c r="M63" s="5" t="n">
        <f aca="false">IF(E63&gt;=K63,L63*J63,0)</f>
        <v>266.4464</v>
      </c>
      <c r="N63" s="5" t="n">
        <f aca="false">(L63-M63)*I63</f>
        <v>383.682816</v>
      </c>
      <c r="O63" s="5" t="n">
        <f aca="false">L63-M63+N63</f>
        <v>6778.396416</v>
      </c>
    </row>
    <row r="64" customFormat="false" ht="15" hidden="false" customHeight="false" outlineLevel="0" collapsed="false">
      <c r="A64" s="4" t="s">
        <v>403</v>
      </c>
      <c r="B64" s="9" t="n">
        <v>45722</v>
      </c>
      <c r="C64" s="4" t="s">
        <v>49</v>
      </c>
      <c r="D64" s="4" t="s">
        <v>251</v>
      </c>
      <c r="E64" s="4" t="n">
        <v>2</v>
      </c>
      <c r="F64" s="5" t="n">
        <f aca="false">INDEX(Products!$E:$E,MATCH(C64,Products!$A:$A,0))</f>
        <v>229.76</v>
      </c>
      <c r="G64" s="4" t="str">
        <f aca="false">INDEX(Products!$C:$C,MATCH(C64,Products!$A:$A,0))</f>
        <v>Home &amp; Kitchen</v>
      </c>
      <c r="H64" s="4" t="str">
        <f aca="false">INDEX(Customers!$C:$C,MATCH(D64,Customers!$A:$A,0))</f>
        <v>R03</v>
      </c>
      <c r="I64" s="7" t="n">
        <f aca="false">INDEX(Regions!$C:$C,MATCH(H64,Regions!$A:$A,0))</f>
        <v>0.0625</v>
      </c>
      <c r="J64" s="7" t="n">
        <f aca="false">INDEX(Regions!$D:$D,MATCH(H64,Regions!$A:$A,0))</f>
        <v>0.03</v>
      </c>
      <c r="K64" s="4" t="n">
        <f aca="false">INDEX(Regions!$E:$E,MATCH(H64,Regions!$A:$A,0))</f>
        <v>15</v>
      </c>
      <c r="L64" s="5" t="n">
        <f aca="false">E64*F64</f>
        <v>459.52</v>
      </c>
      <c r="M64" s="5" t="n">
        <f aca="false">IF(E64&gt;=K64,L64*J64,0)</f>
        <v>0</v>
      </c>
      <c r="N64" s="5" t="n">
        <f aca="false">(L64-M64)*I64</f>
        <v>28.72</v>
      </c>
      <c r="O64" s="5" t="n">
        <f aca="false">L64-M64+N64</f>
        <v>488.24</v>
      </c>
    </row>
    <row r="65" customFormat="false" ht="15" hidden="false" customHeight="false" outlineLevel="0" collapsed="false">
      <c r="A65" s="4" t="s">
        <v>404</v>
      </c>
      <c r="B65" s="9" t="n">
        <v>45709</v>
      </c>
      <c r="C65" s="4" t="s">
        <v>92</v>
      </c>
      <c r="D65" s="4" t="s">
        <v>269</v>
      </c>
      <c r="E65" s="4" t="n">
        <v>11</v>
      </c>
      <c r="F65" s="5" t="n">
        <f aca="false">INDEX(Products!$E:$E,MATCH(C65,Products!$A:$A,0))</f>
        <v>333.4</v>
      </c>
      <c r="G65" s="4" t="str">
        <f aca="false">INDEX(Products!$C:$C,MATCH(C65,Products!$A:$A,0))</f>
        <v>Outdoor</v>
      </c>
      <c r="H65" s="4" t="str">
        <f aca="false">INDEX(Customers!$C:$C,MATCH(D65,Customers!$A:$A,0))</f>
        <v>R01</v>
      </c>
      <c r="I65" s="7" t="n">
        <f aca="false">INDEX(Regions!$C:$C,MATCH(H65,Regions!$A:$A,0))</f>
        <v>0.0825</v>
      </c>
      <c r="J65" s="7" t="n">
        <f aca="false">INDEX(Regions!$D:$D,MATCH(H65,Regions!$A:$A,0))</f>
        <v>0.05</v>
      </c>
      <c r="K65" s="4" t="n">
        <f aca="false">INDEX(Regions!$E:$E,MATCH(H65,Regions!$A:$A,0))</f>
        <v>10</v>
      </c>
      <c r="L65" s="5" t="n">
        <f aca="false">E65*F65</f>
        <v>3667.4</v>
      </c>
      <c r="M65" s="5" t="n">
        <f aca="false">IF(E65&gt;=K65,L65*J65,0)</f>
        <v>183.37</v>
      </c>
      <c r="N65" s="5" t="n">
        <f aca="false">(L65-M65)*I65</f>
        <v>287.432475</v>
      </c>
      <c r="O65" s="5" t="n">
        <f aca="false">L65-M65+N65</f>
        <v>3771.462475</v>
      </c>
    </row>
    <row r="66" customFormat="false" ht="15" hidden="false" customHeight="false" outlineLevel="0" collapsed="false">
      <c r="A66" s="4" t="s">
        <v>405</v>
      </c>
      <c r="B66" s="9" t="n">
        <v>45891</v>
      </c>
      <c r="C66" s="4" t="s">
        <v>84</v>
      </c>
      <c r="D66" s="4" t="s">
        <v>159</v>
      </c>
      <c r="E66" s="4" t="n">
        <v>17</v>
      </c>
      <c r="F66" s="5" t="n">
        <f aca="false">INDEX(Products!$E:$E,MATCH(C66,Products!$A:$A,0))</f>
        <v>338.07</v>
      </c>
      <c r="G66" s="4" t="str">
        <f aca="false">INDEX(Products!$C:$C,MATCH(C66,Products!$A:$A,0))</f>
        <v>Office Supplies</v>
      </c>
      <c r="H66" s="4" t="str">
        <f aca="false">INDEX(Customers!$C:$C,MATCH(D66,Customers!$A:$A,0))</f>
        <v>R08</v>
      </c>
      <c r="I66" s="7" t="n">
        <f aca="false">INDEX(Regions!$C:$C,MATCH(H66,Regions!$A:$A,0))</f>
        <v>0.12</v>
      </c>
      <c r="J66" s="7" t="n">
        <f aca="false">INDEX(Regions!$D:$D,MATCH(H66,Regions!$A:$A,0))</f>
        <v>0.04</v>
      </c>
      <c r="K66" s="4" t="n">
        <f aca="false">INDEX(Regions!$E:$E,MATCH(H66,Regions!$A:$A,0))</f>
        <v>12</v>
      </c>
      <c r="L66" s="5" t="n">
        <f aca="false">E66*F66</f>
        <v>5747.19</v>
      </c>
      <c r="M66" s="5" t="n">
        <f aca="false">IF(E66&gt;=K66,L66*J66,0)</f>
        <v>229.8876</v>
      </c>
      <c r="N66" s="5" t="n">
        <f aca="false">(L66-M66)*I66</f>
        <v>662.076288</v>
      </c>
      <c r="O66" s="5" t="n">
        <f aca="false">L66-M66+N66</f>
        <v>6179.378688</v>
      </c>
    </row>
    <row r="67" customFormat="false" ht="15" hidden="false" customHeight="false" outlineLevel="0" collapsed="false">
      <c r="A67" s="4" t="s">
        <v>406</v>
      </c>
      <c r="B67" s="9" t="n">
        <v>45867</v>
      </c>
      <c r="C67" s="4" t="s">
        <v>26</v>
      </c>
      <c r="D67" s="4" t="s">
        <v>294</v>
      </c>
      <c r="E67" s="4" t="n">
        <v>5</v>
      </c>
      <c r="F67" s="5" t="n">
        <f aca="false">INDEX(Products!$E:$E,MATCH(C67,Products!$A:$A,0))</f>
        <v>89.87</v>
      </c>
      <c r="G67" s="4" t="str">
        <f aca="false">INDEX(Products!$C:$C,MATCH(C67,Products!$A:$A,0))</f>
        <v>Office Supplies</v>
      </c>
      <c r="H67" s="4" t="str">
        <f aca="false">INDEX(Customers!$C:$C,MATCH(D67,Customers!$A:$A,0))</f>
        <v>R01</v>
      </c>
      <c r="I67" s="7" t="n">
        <f aca="false">INDEX(Regions!$C:$C,MATCH(H67,Regions!$A:$A,0))</f>
        <v>0.0825</v>
      </c>
      <c r="J67" s="7" t="n">
        <f aca="false">INDEX(Regions!$D:$D,MATCH(H67,Regions!$A:$A,0))</f>
        <v>0.05</v>
      </c>
      <c r="K67" s="4" t="n">
        <f aca="false">INDEX(Regions!$E:$E,MATCH(H67,Regions!$A:$A,0))</f>
        <v>10</v>
      </c>
      <c r="L67" s="5" t="n">
        <f aca="false">E67*F67</f>
        <v>449.35</v>
      </c>
      <c r="M67" s="5" t="n">
        <f aca="false">IF(E67&gt;=K67,L67*J67,0)</f>
        <v>0</v>
      </c>
      <c r="N67" s="5" t="n">
        <f aca="false">(L67-M67)*I67</f>
        <v>37.071375</v>
      </c>
      <c r="O67" s="5" t="n">
        <f aca="false">L67-M67+N67</f>
        <v>486.421375</v>
      </c>
    </row>
    <row r="68" customFormat="false" ht="15" hidden="false" customHeight="false" outlineLevel="0" collapsed="false">
      <c r="A68" s="4" t="s">
        <v>407</v>
      </c>
      <c r="B68" s="9" t="n">
        <v>45793</v>
      </c>
      <c r="C68" s="4" t="s">
        <v>49</v>
      </c>
      <c r="D68" s="4" t="s">
        <v>153</v>
      </c>
      <c r="E68" s="4" t="n">
        <v>16</v>
      </c>
      <c r="F68" s="5" t="n">
        <f aca="false">INDEX(Products!$E:$E,MATCH(C68,Products!$A:$A,0))</f>
        <v>229.76</v>
      </c>
      <c r="G68" s="4" t="str">
        <f aca="false">INDEX(Products!$C:$C,MATCH(C68,Products!$A:$A,0))</f>
        <v>Home &amp; Kitchen</v>
      </c>
      <c r="H68" s="4" t="str">
        <f aca="false">INDEX(Customers!$C:$C,MATCH(D68,Customers!$A:$A,0))</f>
        <v>R08</v>
      </c>
      <c r="I68" s="7" t="n">
        <f aca="false">INDEX(Regions!$C:$C,MATCH(H68,Regions!$A:$A,0))</f>
        <v>0.12</v>
      </c>
      <c r="J68" s="7" t="n">
        <f aca="false">INDEX(Regions!$D:$D,MATCH(H68,Regions!$A:$A,0))</f>
        <v>0.04</v>
      </c>
      <c r="K68" s="4" t="n">
        <f aca="false">INDEX(Regions!$E:$E,MATCH(H68,Regions!$A:$A,0))</f>
        <v>12</v>
      </c>
      <c r="L68" s="5" t="n">
        <f aca="false">E68*F68</f>
        <v>3676.16</v>
      </c>
      <c r="M68" s="5" t="n">
        <f aca="false">IF(E68&gt;=K68,L68*J68,0)</f>
        <v>147.0464</v>
      </c>
      <c r="N68" s="5" t="n">
        <f aca="false">(L68-M68)*I68</f>
        <v>423.493632</v>
      </c>
      <c r="O68" s="5" t="n">
        <f aca="false">L68-M68+N68</f>
        <v>3952.607232</v>
      </c>
    </row>
    <row r="69" customFormat="false" ht="15" hidden="false" customHeight="false" outlineLevel="0" collapsed="false">
      <c r="A69" s="4" t="s">
        <v>408</v>
      </c>
      <c r="B69" s="9" t="n">
        <v>45861</v>
      </c>
      <c r="C69" s="4" t="s">
        <v>71</v>
      </c>
      <c r="D69" s="4" t="s">
        <v>276</v>
      </c>
      <c r="E69" s="4" t="n">
        <v>23</v>
      </c>
      <c r="F69" s="5" t="n">
        <f aca="false">INDEX(Products!$E:$E,MATCH(C69,Products!$A:$A,0))</f>
        <v>59.51</v>
      </c>
      <c r="G69" s="4" t="str">
        <f aca="false">INDEX(Products!$C:$C,MATCH(C69,Products!$A:$A,0))</f>
        <v>Electronics</v>
      </c>
      <c r="H69" s="4" t="str">
        <f aca="false">INDEX(Customers!$C:$C,MATCH(D69,Customers!$A:$A,0))</f>
        <v>R01</v>
      </c>
      <c r="I69" s="7" t="n">
        <f aca="false">INDEX(Regions!$C:$C,MATCH(H69,Regions!$A:$A,0))</f>
        <v>0.0825</v>
      </c>
      <c r="J69" s="7" t="n">
        <f aca="false">INDEX(Regions!$D:$D,MATCH(H69,Regions!$A:$A,0))</f>
        <v>0.05</v>
      </c>
      <c r="K69" s="4" t="n">
        <f aca="false">INDEX(Regions!$E:$E,MATCH(H69,Regions!$A:$A,0))</f>
        <v>10</v>
      </c>
      <c r="L69" s="5" t="n">
        <f aca="false">E69*F69</f>
        <v>1368.73</v>
      </c>
      <c r="M69" s="5" t="n">
        <f aca="false">IF(E69&gt;=K69,L69*J69,0)</f>
        <v>68.4365</v>
      </c>
      <c r="N69" s="5" t="n">
        <f aca="false">(L69-M69)*I69</f>
        <v>107.27421375</v>
      </c>
      <c r="O69" s="5" t="n">
        <f aca="false">L69-M69+N69</f>
        <v>1407.56771375</v>
      </c>
    </row>
    <row r="70" customFormat="false" ht="15" hidden="false" customHeight="false" outlineLevel="0" collapsed="false">
      <c r="A70" s="4" t="s">
        <v>409</v>
      </c>
      <c r="B70" s="9" t="n">
        <v>46003</v>
      </c>
      <c r="C70" s="4" t="s">
        <v>40</v>
      </c>
      <c r="D70" s="4" t="s">
        <v>318</v>
      </c>
      <c r="E70" s="4" t="n">
        <v>11</v>
      </c>
      <c r="F70" s="5" t="n">
        <f aca="false">INDEX(Products!$E:$E,MATCH(C70,Products!$A:$A,0))</f>
        <v>93.05</v>
      </c>
      <c r="G70" s="4" t="str">
        <f aca="false">INDEX(Products!$C:$C,MATCH(C70,Products!$A:$A,0))</f>
        <v>Office Supplies</v>
      </c>
      <c r="H70" s="4" t="str">
        <f aca="false">INDEX(Customers!$C:$C,MATCH(D70,Customers!$A:$A,0))</f>
        <v>R04</v>
      </c>
      <c r="I70" s="7" t="n">
        <f aca="false">INDEX(Regions!$C:$C,MATCH(H70,Regions!$A:$A,0))</f>
        <v>0.08</v>
      </c>
      <c r="J70" s="7" t="n">
        <f aca="false">INDEX(Regions!$D:$D,MATCH(H70,Regions!$A:$A,0))</f>
        <v>0.05</v>
      </c>
      <c r="K70" s="4" t="n">
        <f aca="false">INDEX(Regions!$E:$E,MATCH(H70,Regions!$A:$A,0))</f>
        <v>10</v>
      </c>
      <c r="L70" s="5" t="n">
        <f aca="false">E70*F70</f>
        <v>1023.55</v>
      </c>
      <c r="M70" s="5" t="n">
        <f aca="false">IF(E70&gt;=K70,L70*J70,0)</f>
        <v>51.1775</v>
      </c>
      <c r="N70" s="5" t="n">
        <f aca="false">(L70-M70)*I70</f>
        <v>77.7898</v>
      </c>
      <c r="O70" s="5" t="n">
        <f aca="false">L70-M70+N70</f>
        <v>1050.1623</v>
      </c>
    </row>
    <row r="71" customFormat="false" ht="15" hidden="false" customHeight="false" outlineLevel="0" collapsed="false">
      <c r="A71" s="4" t="s">
        <v>410</v>
      </c>
      <c r="B71" s="9" t="n">
        <v>45978</v>
      </c>
      <c r="C71" s="4" t="s">
        <v>96</v>
      </c>
      <c r="D71" s="4" t="s">
        <v>226</v>
      </c>
      <c r="E71" s="4" t="n">
        <v>11</v>
      </c>
      <c r="F71" s="5" t="n">
        <f aca="false">INDEX(Products!$E:$E,MATCH(C71,Products!$A:$A,0))</f>
        <v>195.64</v>
      </c>
      <c r="G71" s="4" t="str">
        <f aca="false">INDEX(Products!$C:$C,MATCH(C71,Products!$A:$A,0))</f>
        <v>Office Supplies</v>
      </c>
      <c r="H71" s="4" t="str">
        <f aca="false">INDEX(Customers!$C:$C,MATCH(D71,Customers!$A:$A,0))</f>
        <v>R06</v>
      </c>
      <c r="I71" s="7" t="n">
        <f aca="false">INDEX(Regions!$C:$C,MATCH(H71,Regions!$A:$A,0))</f>
        <v>0.06</v>
      </c>
      <c r="J71" s="7" t="n">
        <f aca="false">INDEX(Regions!$D:$D,MATCH(H71,Regions!$A:$A,0))</f>
        <v>0.04</v>
      </c>
      <c r="K71" s="4" t="n">
        <f aca="false">INDEX(Regions!$E:$E,MATCH(H71,Regions!$A:$A,0))</f>
        <v>12</v>
      </c>
      <c r="L71" s="5" t="n">
        <f aca="false">E71*F71</f>
        <v>2152.04</v>
      </c>
      <c r="M71" s="5" t="n">
        <f aca="false">IF(E71&gt;=K71,L71*J71,0)</f>
        <v>0</v>
      </c>
      <c r="N71" s="5" t="n">
        <f aca="false">(L71-M71)*I71</f>
        <v>129.1224</v>
      </c>
      <c r="O71" s="5" t="n">
        <f aca="false">L71-M71+N71</f>
        <v>2281.1624</v>
      </c>
    </row>
    <row r="72" customFormat="false" ht="15" hidden="false" customHeight="false" outlineLevel="0" collapsed="false">
      <c r="A72" s="4" t="s">
        <v>411</v>
      </c>
      <c r="B72" s="9" t="n">
        <v>45676</v>
      </c>
      <c r="C72" s="4" t="s">
        <v>90</v>
      </c>
      <c r="D72" s="4" t="s">
        <v>320</v>
      </c>
      <c r="E72" s="4" t="n">
        <v>18</v>
      </c>
      <c r="F72" s="5" t="n">
        <f aca="false">INDEX(Products!$E:$E,MATCH(C72,Products!$A:$A,0))</f>
        <v>446.56</v>
      </c>
      <c r="G72" s="4" t="str">
        <f aca="false">INDEX(Products!$C:$C,MATCH(C72,Products!$A:$A,0))</f>
        <v>Outdoor</v>
      </c>
      <c r="H72" s="4" t="str">
        <f aca="false">INDEX(Customers!$C:$C,MATCH(D72,Customers!$A:$A,0))</f>
        <v>R06</v>
      </c>
      <c r="I72" s="7" t="n">
        <f aca="false">INDEX(Regions!$C:$C,MATCH(H72,Regions!$A:$A,0))</f>
        <v>0.06</v>
      </c>
      <c r="J72" s="7" t="n">
        <f aca="false">INDEX(Regions!$D:$D,MATCH(H72,Regions!$A:$A,0))</f>
        <v>0.04</v>
      </c>
      <c r="K72" s="4" t="n">
        <f aca="false">INDEX(Regions!$E:$E,MATCH(H72,Regions!$A:$A,0))</f>
        <v>12</v>
      </c>
      <c r="L72" s="5" t="n">
        <f aca="false">E72*F72</f>
        <v>8038.08</v>
      </c>
      <c r="M72" s="5" t="n">
        <f aca="false">IF(E72&gt;=K72,L72*J72,0)</f>
        <v>321.5232</v>
      </c>
      <c r="N72" s="5" t="n">
        <f aca="false">(L72-M72)*I72</f>
        <v>462.993408</v>
      </c>
      <c r="O72" s="5" t="n">
        <f aca="false">L72-M72+N72</f>
        <v>8179.550208</v>
      </c>
    </row>
    <row r="73" customFormat="false" ht="15" hidden="false" customHeight="false" outlineLevel="0" collapsed="false">
      <c r="A73" s="4" t="s">
        <v>412</v>
      </c>
      <c r="B73" s="9" t="n">
        <v>45981</v>
      </c>
      <c r="C73" s="4" t="s">
        <v>105</v>
      </c>
      <c r="D73" s="4" t="s">
        <v>151</v>
      </c>
      <c r="E73" s="4" t="n">
        <v>8</v>
      </c>
      <c r="F73" s="5" t="n">
        <f aca="false">INDEX(Products!$E:$E,MATCH(C73,Products!$A:$A,0))</f>
        <v>216.46</v>
      </c>
      <c r="G73" s="4" t="str">
        <f aca="false">INDEX(Products!$C:$C,MATCH(C73,Products!$A:$A,0))</f>
        <v>Apparel</v>
      </c>
      <c r="H73" s="4" t="str">
        <f aca="false">INDEX(Customers!$C:$C,MATCH(D73,Customers!$A:$A,0))</f>
        <v>R03</v>
      </c>
      <c r="I73" s="7" t="n">
        <f aca="false">INDEX(Regions!$C:$C,MATCH(H73,Regions!$A:$A,0))</f>
        <v>0.0625</v>
      </c>
      <c r="J73" s="7" t="n">
        <f aca="false">INDEX(Regions!$D:$D,MATCH(H73,Regions!$A:$A,0))</f>
        <v>0.03</v>
      </c>
      <c r="K73" s="4" t="n">
        <f aca="false">INDEX(Regions!$E:$E,MATCH(H73,Regions!$A:$A,0))</f>
        <v>15</v>
      </c>
      <c r="L73" s="5" t="n">
        <f aca="false">E73*F73</f>
        <v>1731.68</v>
      </c>
      <c r="M73" s="5" t="n">
        <f aca="false">IF(E73&gt;=K73,L73*J73,0)</f>
        <v>0</v>
      </c>
      <c r="N73" s="5" t="n">
        <f aca="false">(L73-M73)*I73</f>
        <v>108.23</v>
      </c>
      <c r="O73" s="5" t="n">
        <f aca="false">L73-M73+N73</f>
        <v>1839.91</v>
      </c>
    </row>
    <row r="74" customFormat="false" ht="15" hidden="false" customHeight="false" outlineLevel="0" collapsed="false">
      <c r="A74" s="4" t="s">
        <v>413</v>
      </c>
      <c r="B74" s="9" t="n">
        <v>45704</v>
      </c>
      <c r="C74" s="4" t="s">
        <v>66</v>
      </c>
      <c r="D74" s="4" t="s">
        <v>191</v>
      </c>
      <c r="E74" s="4" t="n">
        <v>24</v>
      </c>
      <c r="F74" s="5" t="n">
        <f aca="false">INDEX(Products!$E:$E,MATCH(C74,Products!$A:$A,0))</f>
        <v>55.31</v>
      </c>
      <c r="G74" s="4" t="str">
        <f aca="false">INDEX(Products!$C:$C,MATCH(C74,Products!$A:$A,0))</f>
        <v>Outdoor</v>
      </c>
      <c r="H74" s="4" t="str">
        <f aca="false">INDEX(Customers!$C:$C,MATCH(D74,Customers!$A:$A,0))</f>
        <v>R07</v>
      </c>
      <c r="I74" s="7" t="n">
        <f aca="false">INDEX(Regions!$C:$C,MATCH(H74,Regions!$A:$A,0))</f>
        <v>0.15</v>
      </c>
      <c r="J74" s="7" t="n">
        <f aca="false">INDEX(Regions!$D:$D,MATCH(H74,Regions!$A:$A,0))</f>
        <v>0.05</v>
      </c>
      <c r="K74" s="4" t="n">
        <f aca="false">INDEX(Regions!$E:$E,MATCH(H74,Regions!$A:$A,0))</f>
        <v>10</v>
      </c>
      <c r="L74" s="5" t="n">
        <f aca="false">E74*F74</f>
        <v>1327.44</v>
      </c>
      <c r="M74" s="5" t="n">
        <f aca="false">IF(E74&gt;=K74,L74*J74,0)</f>
        <v>66.372</v>
      </c>
      <c r="N74" s="5" t="n">
        <f aca="false">(L74-M74)*I74</f>
        <v>189.1602</v>
      </c>
      <c r="O74" s="5" t="n">
        <f aca="false">L74-M74+N74</f>
        <v>1450.2282</v>
      </c>
    </row>
    <row r="75" customFormat="false" ht="15" hidden="false" customHeight="false" outlineLevel="0" collapsed="false">
      <c r="A75" s="4" t="s">
        <v>414</v>
      </c>
      <c r="B75" s="9" t="n">
        <v>45982</v>
      </c>
      <c r="C75" s="4" t="s">
        <v>82</v>
      </c>
      <c r="D75" s="4" t="s">
        <v>159</v>
      </c>
      <c r="E75" s="4" t="n">
        <v>25</v>
      </c>
      <c r="F75" s="5" t="n">
        <f aca="false">INDEX(Products!$E:$E,MATCH(C75,Products!$A:$A,0))</f>
        <v>365.87</v>
      </c>
      <c r="G75" s="4" t="str">
        <f aca="false">INDEX(Products!$C:$C,MATCH(C75,Products!$A:$A,0))</f>
        <v>Office Supplies</v>
      </c>
      <c r="H75" s="4" t="str">
        <f aca="false">INDEX(Customers!$C:$C,MATCH(D75,Customers!$A:$A,0))</f>
        <v>R08</v>
      </c>
      <c r="I75" s="7" t="n">
        <f aca="false">INDEX(Regions!$C:$C,MATCH(H75,Regions!$A:$A,0))</f>
        <v>0.12</v>
      </c>
      <c r="J75" s="7" t="n">
        <f aca="false">INDEX(Regions!$D:$D,MATCH(H75,Regions!$A:$A,0))</f>
        <v>0.04</v>
      </c>
      <c r="K75" s="4" t="n">
        <f aca="false">INDEX(Regions!$E:$E,MATCH(H75,Regions!$A:$A,0))</f>
        <v>12</v>
      </c>
      <c r="L75" s="5" t="n">
        <f aca="false">E75*F75</f>
        <v>9146.75</v>
      </c>
      <c r="M75" s="5" t="n">
        <f aca="false">IF(E75&gt;=K75,L75*J75,0)</f>
        <v>365.87</v>
      </c>
      <c r="N75" s="5" t="n">
        <f aca="false">(L75-M75)*I75</f>
        <v>1053.7056</v>
      </c>
      <c r="O75" s="5" t="n">
        <f aca="false">L75-M75+N75</f>
        <v>9834.5856</v>
      </c>
    </row>
    <row r="76" customFormat="false" ht="15" hidden="false" customHeight="false" outlineLevel="0" collapsed="false">
      <c r="A76" s="4" t="s">
        <v>415</v>
      </c>
      <c r="B76" s="9" t="n">
        <v>46013</v>
      </c>
      <c r="C76" s="4" t="s">
        <v>42</v>
      </c>
      <c r="D76" s="4" t="s">
        <v>240</v>
      </c>
      <c r="E76" s="4" t="n">
        <v>6</v>
      </c>
      <c r="F76" s="5" t="n">
        <f aca="false">INDEX(Products!$E:$E,MATCH(C76,Products!$A:$A,0))</f>
        <v>156.05</v>
      </c>
      <c r="G76" s="4" t="str">
        <f aca="false">INDEX(Products!$C:$C,MATCH(C76,Products!$A:$A,0))</f>
        <v>Electronics</v>
      </c>
      <c r="H76" s="4" t="str">
        <f aca="false">INDEX(Customers!$C:$C,MATCH(D76,Customers!$A:$A,0))</f>
        <v>R06</v>
      </c>
      <c r="I76" s="7" t="n">
        <f aca="false">INDEX(Regions!$C:$C,MATCH(H76,Regions!$A:$A,0))</f>
        <v>0.06</v>
      </c>
      <c r="J76" s="7" t="n">
        <f aca="false">INDEX(Regions!$D:$D,MATCH(H76,Regions!$A:$A,0))</f>
        <v>0.04</v>
      </c>
      <c r="K76" s="4" t="n">
        <f aca="false">INDEX(Regions!$E:$E,MATCH(H76,Regions!$A:$A,0))</f>
        <v>12</v>
      </c>
      <c r="L76" s="5" t="n">
        <f aca="false">E76*F76</f>
        <v>936.3</v>
      </c>
      <c r="M76" s="5" t="n">
        <f aca="false">IF(E76&gt;=K76,L76*J76,0)</f>
        <v>0</v>
      </c>
      <c r="N76" s="5" t="n">
        <f aca="false">(L76-M76)*I76</f>
        <v>56.178</v>
      </c>
      <c r="O76" s="5" t="n">
        <f aca="false">L76-M76+N76</f>
        <v>992.478</v>
      </c>
    </row>
    <row r="77" customFormat="false" ht="15" hidden="false" customHeight="false" outlineLevel="0" collapsed="false">
      <c r="A77" s="4" t="s">
        <v>416</v>
      </c>
      <c r="B77" s="9" t="n">
        <v>45681</v>
      </c>
      <c r="C77" s="4" t="s">
        <v>67</v>
      </c>
      <c r="D77" s="4" t="s">
        <v>327</v>
      </c>
      <c r="E77" s="4" t="n">
        <v>1</v>
      </c>
      <c r="F77" s="5" t="n">
        <f aca="false">INDEX(Products!$E:$E,MATCH(C77,Products!$A:$A,0))</f>
        <v>198.43</v>
      </c>
      <c r="G77" s="4" t="str">
        <f aca="false">INDEX(Products!$C:$C,MATCH(C77,Products!$A:$A,0))</f>
        <v>Apparel</v>
      </c>
      <c r="H77" s="4" t="str">
        <f aca="false">INDEX(Customers!$C:$C,MATCH(D77,Customers!$A:$A,0))</f>
        <v>R08</v>
      </c>
      <c r="I77" s="7" t="n">
        <f aca="false">INDEX(Regions!$C:$C,MATCH(H77,Regions!$A:$A,0))</f>
        <v>0.12</v>
      </c>
      <c r="J77" s="7" t="n">
        <f aca="false">INDEX(Regions!$D:$D,MATCH(H77,Regions!$A:$A,0))</f>
        <v>0.04</v>
      </c>
      <c r="K77" s="4" t="n">
        <f aca="false">INDEX(Regions!$E:$E,MATCH(H77,Regions!$A:$A,0))</f>
        <v>12</v>
      </c>
      <c r="L77" s="5" t="n">
        <f aca="false">E77*F77</f>
        <v>198.43</v>
      </c>
      <c r="M77" s="5" t="n">
        <f aca="false">IF(E77&gt;=K77,L77*J77,0)</f>
        <v>0</v>
      </c>
      <c r="N77" s="5" t="n">
        <f aca="false">(L77-M77)*I77</f>
        <v>23.8116</v>
      </c>
      <c r="O77" s="5" t="n">
        <f aca="false">L77-M77+N77</f>
        <v>222.2416</v>
      </c>
    </row>
    <row r="78" customFormat="false" ht="15" hidden="false" customHeight="false" outlineLevel="0" collapsed="false">
      <c r="A78" s="4" t="s">
        <v>417</v>
      </c>
      <c r="B78" s="9" t="n">
        <v>45808</v>
      </c>
      <c r="C78" s="4" t="s">
        <v>69</v>
      </c>
      <c r="D78" s="4" t="s">
        <v>306</v>
      </c>
      <c r="E78" s="4" t="n">
        <v>2</v>
      </c>
      <c r="F78" s="5" t="n">
        <f aca="false">INDEX(Products!$E:$E,MATCH(C78,Products!$A:$A,0))</f>
        <v>173.5</v>
      </c>
      <c r="G78" s="4" t="str">
        <f aca="false">INDEX(Products!$C:$C,MATCH(C78,Products!$A:$A,0))</f>
        <v>Home &amp; Kitchen</v>
      </c>
      <c r="H78" s="4" t="str">
        <f aca="false">INDEX(Customers!$C:$C,MATCH(D78,Customers!$A:$A,0))</f>
        <v>R01</v>
      </c>
      <c r="I78" s="7" t="n">
        <f aca="false">INDEX(Regions!$C:$C,MATCH(H78,Regions!$A:$A,0))</f>
        <v>0.0825</v>
      </c>
      <c r="J78" s="7" t="n">
        <f aca="false">INDEX(Regions!$D:$D,MATCH(H78,Regions!$A:$A,0))</f>
        <v>0.05</v>
      </c>
      <c r="K78" s="4" t="n">
        <f aca="false">INDEX(Regions!$E:$E,MATCH(H78,Regions!$A:$A,0))</f>
        <v>10</v>
      </c>
      <c r="L78" s="5" t="n">
        <f aca="false">E78*F78</f>
        <v>347</v>
      </c>
      <c r="M78" s="5" t="n">
        <f aca="false">IF(E78&gt;=K78,L78*J78,0)</f>
        <v>0</v>
      </c>
      <c r="N78" s="5" t="n">
        <f aca="false">(L78-M78)*I78</f>
        <v>28.6275</v>
      </c>
      <c r="O78" s="5" t="n">
        <f aca="false">L78-M78+N78</f>
        <v>375.6275</v>
      </c>
    </row>
    <row r="79" customFormat="false" ht="15" hidden="false" customHeight="false" outlineLevel="0" collapsed="false">
      <c r="A79" s="4" t="s">
        <v>418</v>
      </c>
      <c r="B79" s="9" t="n">
        <v>45732</v>
      </c>
      <c r="C79" s="4" t="s">
        <v>73</v>
      </c>
      <c r="D79" s="4" t="s">
        <v>224</v>
      </c>
      <c r="E79" s="4" t="n">
        <v>14</v>
      </c>
      <c r="F79" s="5" t="n">
        <f aca="false">INDEX(Products!$E:$E,MATCH(C79,Products!$A:$A,0))</f>
        <v>180.28</v>
      </c>
      <c r="G79" s="4" t="str">
        <f aca="false">INDEX(Products!$C:$C,MATCH(C79,Products!$A:$A,0))</f>
        <v>Electronics</v>
      </c>
      <c r="H79" s="4" t="str">
        <f aca="false">INDEX(Customers!$C:$C,MATCH(D79,Customers!$A:$A,0))</f>
        <v>R01</v>
      </c>
      <c r="I79" s="7" t="n">
        <f aca="false">INDEX(Regions!$C:$C,MATCH(H79,Regions!$A:$A,0))</f>
        <v>0.0825</v>
      </c>
      <c r="J79" s="7" t="n">
        <f aca="false">INDEX(Regions!$D:$D,MATCH(H79,Regions!$A:$A,0))</f>
        <v>0.05</v>
      </c>
      <c r="K79" s="4" t="n">
        <f aca="false">INDEX(Regions!$E:$E,MATCH(H79,Regions!$A:$A,0))</f>
        <v>10</v>
      </c>
      <c r="L79" s="5" t="n">
        <f aca="false">E79*F79</f>
        <v>2523.92</v>
      </c>
      <c r="M79" s="5" t="n">
        <f aca="false">IF(E79&gt;=K79,L79*J79,0)</f>
        <v>126.196</v>
      </c>
      <c r="N79" s="5" t="n">
        <f aca="false">(L79-M79)*I79</f>
        <v>197.81223</v>
      </c>
      <c r="O79" s="5" t="n">
        <f aca="false">L79-M79+N79</f>
        <v>2595.53623</v>
      </c>
    </row>
    <row r="80" customFormat="false" ht="15" hidden="false" customHeight="false" outlineLevel="0" collapsed="false">
      <c r="A80" s="4" t="s">
        <v>419</v>
      </c>
      <c r="B80" s="9" t="n">
        <v>45947</v>
      </c>
      <c r="C80" s="4" t="s">
        <v>60</v>
      </c>
      <c r="D80" s="4" t="s">
        <v>257</v>
      </c>
      <c r="E80" s="4" t="n">
        <v>14</v>
      </c>
      <c r="F80" s="5" t="n">
        <f aca="false">INDEX(Products!$E:$E,MATCH(C80,Products!$A:$A,0))</f>
        <v>420.29</v>
      </c>
      <c r="G80" s="4" t="str">
        <f aca="false">INDEX(Products!$C:$C,MATCH(C80,Products!$A:$A,0))</f>
        <v>Office Supplies</v>
      </c>
      <c r="H80" s="4" t="str">
        <f aca="false">INDEX(Customers!$C:$C,MATCH(D80,Customers!$A:$A,0))</f>
        <v>R08</v>
      </c>
      <c r="I80" s="7" t="n">
        <f aca="false">INDEX(Regions!$C:$C,MATCH(H80,Regions!$A:$A,0))</f>
        <v>0.12</v>
      </c>
      <c r="J80" s="7" t="n">
        <f aca="false">INDEX(Regions!$D:$D,MATCH(H80,Regions!$A:$A,0))</f>
        <v>0.04</v>
      </c>
      <c r="K80" s="4" t="n">
        <f aca="false">INDEX(Regions!$E:$E,MATCH(H80,Regions!$A:$A,0))</f>
        <v>12</v>
      </c>
      <c r="L80" s="5" t="n">
        <f aca="false">E80*F80</f>
        <v>5884.06</v>
      </c>
      <c r="M80" s="5" t="n">
        <f aca="false">IF(E80&gt;=K80,L80*J80,0)</f>
        <v>235.3624</v>
      </c>
      <c r="N80" s="5" t="n">
        <f aca="false">(L80-M80)*I80</f>
        <v>677.843712</v>
      </c>
      <c r="O80" s="5" t="n">
        <f aca="false">L80-M80+N80</f>
        <v>6326.541312</v>
      </c>
    </row>
    <row r="81" customFormat="false" ht="15" hidden="false" customHeight="false" outlineLevel="0" collapsed="false">
      <c r="A81" s="4" t="s">
        <v>420</v>
      </c>
      <c r="B81" s="9" t="n">
        <v>45698</v>
      </c>
      <c r="C81" s="4" t="s">
        <v>52</v>
      </c>
      <c r="D81" s="4" t="s">
        <v>177</v>
      </c>
      <c r="E81" s="4" t="n">
        <v>6</v>
      </c>
      <c r="F81" s="5" t="n">
        <f aca="false">INDEX(Products!$E:$E,MATCH(C81,Products!$A:$A,0))</f>
        <v>237.1</v>
      </c>
      <c r="G81" s="4" t="str">
        <f aca="false">INDEX(Products!$C:$C,MATCH(C81,Products!$A:$A,0))</f>
        <v>Office Supplies</v>
      </c>
      <c r="H81" s="4" t="str">
        <f aca="false">INDEX(Customers!$C:$C,MATCH(D81,Customers!$A:$A,0))</f>
        <v>R04</v>
      </c>
      <c r="I81" s="7" t="n">
        <f aca="false">INDEX(Regions!$C:$C,MATCH(H81,Regions!$A:$A,0))</f>
        <v>0.08</v>
      </c>
      <c r="J81" s="7" t="n">
        <f aca="false">INDEX(Regions!$D:$D,MATCH(H81,Regions!$A:$A,0))</f>
        <v>0.05</v>
      </c>
      <c r="K81" s="4" t="n">
        <f aca="false">INDEX(Regions!$E:$E,MATCH(H81,Regions!$A:$A,0))</f>
        <v>10</v>
      </c>
      <c r="L81" s="5" t="n">
        <f aca="false">E81*F81</f>
        <v>1422.6</v>
      </c>
      <c r="M81" s="5" t="n">
        <f aca="false">IF(E81&gt;=K81,L81*J81,0)</f>
        <v>0</v>
      </c>
      <c r="N81" s="5" t="n">
        <f aca="false">(L81-M81)*I81</f>
        <v>113.808</v>
      </c>
      <c r="O81" s="5" t="n">
        <f aca="false">L81-M81+N81</f>
        <v>1536.408</v>
      </c>
    </row>
    <row r="82" customFormat="false" ht="15" hidden="false" customHeight="false" outlineLevel="0" collapsed="false">
      <c r="A82" s="4" t="s">
        <v>421</v>
      </c>
      <c r="B82" s="9" t="n">
        <v>45975</v>
      </c>
      <c r="C82" s="4" t="s">
        <v>105</v>
      </c>
      <c r="D82" s="4" t="s">
        <v>320</v>
      </c>
      <c r="E82" s="4" t="n">
        <v>13</v>
      </c>
      <c r="F82" s="5" t="n">
        <f aca="false">INDEX(Products!$E:$E,MATCH(C82,Products!$A:$A,0))</f>
        <v>216.46</v>
      </c>
      <c r="G82" s="4" t="str">
        <f aca="false">INDEX(Products!$C:$C,MATCH(C82,Products!$A:$A,0))</f>
        <v>Apparel</v>
      </c>
      <c r="H82" s="4" t="str">
        <f aca="false">INDEX(Customers!$C:$C,MATCH(D82,Customers!$A:$A,0))</f>
        <v>R06</v>
      </c>
      <c r="I82" s="7" t="n">
        <f aca="false">INDEX(Regions!$C:$C,MATCH(H82,Regions!$A:$A,0))</f>
        <v>0.06</v>
      </c>
      <c r="J82" s="7" t="n">
        <f aca="false">INDEX(Regions!$D:$D,MATCH(H82,Regions!$A:$A,0))</f>
        <v>0.04</v>
      </c>
      <c r="K82" s="4" t="n">
        <f aca="false">INDEX(Regions!$E:$E,MATCH(H82,Regions!$A:$A,0))</f>
        <v>12</v>
      </c>
      <c r="L82" s="5" t="n">
        <f aca="false">E82*F82</f>
        <v>2813.98</v>
      </c>
      <c r="M82" s="5" t="n">
        <f aca="false">IF(E82&gt;=K82,L82*J82,0)</f>
        <v>112.5592</v>
      </c>
      <c r="N82" s="5" t="n">
        <f aca="false">(L82-M82)*I82</f>
        <v>162.085248</v>
      </c>
      <c r="O82" s="5" t="n">
        <f aca="false">L82-M82+N82</f>
        <v>2863.506048</v>
      </c>
    </row>
    <row r="83" customFormat="false" ht="15" hidden="false" customHeight="false" outlineLevel="0" collapsed="false">
      <c r="A83" s="4" t="s">
        <v>422</v>
      </c>
      <c r="B83" s="9" t="n">
        <v>45956</v>
      </c>
      <c r="C83" s="4" t="s">
        <v>60</v>
      </c>
      <c r="D83" s="4" t="s">
        <v>251</v>
      </c>
      <c r="E83" s="4" t="n">
        <v>30</v>
      </c>
      <c r="F83" s="5" t="n">
        <f aca="false">INDEX(Products!$E:$E,MATCH(C83,Products!$A:$A,0))</f>
        <v>420.29</v>
      </c>
      <c r="G83" s="4" t="str">
        <f aca="false">INDEX(Products!$C:$C,MATCH(C83,Products!$A:$A,0))</f>
        <v>Office Supplies</v>
      </c>
      <c r="H83" s="4" t="str">
        <f aca="false">INDEX(Customers!$C:$C,MATCH(D83,Customers!$A:$A,0))</f>
        <v>R03</v>
      </c>
      <c r="I83" s="7" t="n">
        <f aca="false">INDEX(Regions!$C:$C,MATCH(H83,Regions!$A:$A,0))</f>
        <v>0.0625</v>
      </c>
      <c r="J83" s="7" t="n">
        <f aca="false">INDEX(Regions!$D:$D,MATCH(H83,Regions!$A:$A,0))</f>
        <v>0.03</v>
      </c>
      <c r="K83" s="4" t="n">
        <f aca="false">INDEX(Regions!$E:$E,MATCH(H83,Regions!$A:$A,0))</f>
        <v>15</v>
      </c>
      <c r="L83" s="5" t="n">
        <f aca="false">E83*F83</f>
        <v>12608.7</v>
      </c>
      <c r="M83" s="5" t="n">
        <f aca="false">IF(E83&gt;=K83,L83*J83,0)</f>
        <v>378.261</v>
      </c>
      <c r="N83" s="5" t="n">
        <f aca="false">(L83-M83)*I83</f>
        <v>764.4024375</v>
      </c>
      <c r="O83" s="5" t="n">
        <f aca="false">L83-M83+N83</f>
        <v>12994.8414375</v>
      </c>
    </row>
    <row r="84" customFormat="false" ht="15" hidden="false" customHeight="false" outlineLevel="0" collapsed="false">
      <c r="A84" s="4" t="s">
        <v>423</v>
      </c>
      <c r="B84" s="9" t="n">
        <v>45984</v>
      </c>
      <c r="C84" s="4" t="s">
        <v>49</v>
      </c>
      <c r="D84" s="4" t="s">
        <v>191</v>
      </c>
      <c r="E84" s="4" t="n">
        <v>15</v>
      </c>
      <c r="F84" s="5" t="n">
        <f aca="false">INDEX(Products!$E:$E,MATCH(C84,Products!$A:$A,0))</f>
        <v>229.76</v>
      </c>
      <c r="G84" s="4" t="str">
        <f aca="false">INDEX(Products!$C:$C,MATCH(C84,Products!$A:$A,0))</f>
        <v>Home &amp; Kitchen</v>
      </c>
      <c r="H84" s="4" t="str">
        <f aca="false">INDEX(Customers!$C:$C,MATCH(D84,Customers!$A:$A,0))</f>
        <v>R07</v>
      </c>
      <c r="I84" s="7" t="n">
        <f aca="false">INDEX(Regions!$C:$C,MATCH(H84,Regions!$A:$A,0))</f>
        <v>0.15</v>
      </c>
      <c r="J84" s="7" t="n">
        <f aca="false">INDEX(Regions!$D:$D,MATCH(H84,Regions!$A:$A,0))</f>
        <v>0.05</v>
      </c>
      <c r="K84" s="4" t="n">
        <f aca="false">INDEX(Regions!$E:$E,MATCH(H84,Regions!$A:$A,0))</f>
        <v>10</v>
      </c>
      <c r="L84" s="5" t="n">
        <f aca="false">E84*F84</f>
        <v>3446.4</v>
      </c>
      <c r="M84" s="5" t="n">
        <f aca="false">IF(E84&gt;=K84,L84*J84,0)</f>
        <v>172.32</v>
      </c>
      <c r="N84" s="5" t="n">
        <f aca="false">(L84-M84)*I84</f>
        <v>491.112</v>
      </c>
      <c r="O84" s="5" t="n">
        <f aca="false">L84-M84+N84</f>
        <v>3765.192</v>
      </c>
    </row>
    <row r="85" customFormat="false" ht="15" hidden="false" customHeight="false" outlineLevel="0" collapsed="false">
      <c r="A85" s="4" t="s">
        <v>424</v>
      </c>
      <c r="B85" s="9" t="n">
        <v>45999</v>
      </c>
      <c r="C85" s="4" t="s">
        <v>62</v>
      </c>
      <c r="D85" s="4" t="s">
        <v>242</v>
      </c>
      <c r="E85" s="4" t="n">
        <v>9</v>
      </c>
      <c r="F85" s="5" t="n">
        <f aca="false">INDEX(Products!$E:$E,MATCH(C85,Products!$A:$A,0))</f>
        <v>329.87</v>
      </c>
      <c r="G85" s="4" t="str">
        <f aca="false">INDEX(Products!$C:$C,MATCH(C85,Products!$A:$A,0))</f>
        <v>Electronics</v>
      </c>
      <c r="H85" s="4" t="str">
        <f aca="false">INDEX(Customers!$C:$C,MATCH(D85,Customers!$A:$A,0))</f>
        <v>R08</v>
      </c>
      <c r="I85" s="7" t="n">
        <f aca="false">INDEX(Regions!$C:$C,MATCH(H85,Regions!$A:$A,0))</f>
        <v>0.12</v>
      </c>
      <c r="J85" s="7" t="n">
        <f aca="false">INDEX(Regions!$D:$D,MATCH(H85,Regions!$A:$A,0))</f>
        <v>0.04</v>
      </c>
      <c r="K85" s="4" t="n">
        <f aca="false">INDEX(Regions!$E:$E,MATCH(H85,Regions!$A:$A,0))</f>
        <v>12</v>
      </c>
      <c r="L85" s="5" t="n">
        <f aca="false">E85*F85</f>
        <v>2968.83</v>
      </c>
      <c r="M85" s="5" t="n">
        <f aca="false">IF(E85&gt;=K85,L85*J85,0)</f>
        <v>0</v>
      </c>
      <c r="N85" s="5" t="n">
        <f aca="false">(L85-M85)*I85</f>
        <v>356.2596</v>
      </c>
      <c r="O85" s="5" t="n">
        <f aca="false">L85-M85+N85</f>
        <v>3325.0896</v>
      </c>
    </row>
    <row r="86" customFormat="false" ht="15" hidden="false" customHeight="false" outlineLevel="0" collapsed="false">
      <c r="A86" s="4" t="s">
        <v>425</v>
      </c>
      <c r="B86" s="9" t="n">
        <v>45896</v>
      </c>
      <c r="C86" s="4" t="s">
        <v>26</v>
      </c>
      <c r="D86" s="4" t="s">
        <v>327</v>
      </c>
      <c r="E86" s="4" t="n">
        <v>26</v>
      </c>
      <c r="F86" s="5" t="n">
        <f aca="false">INDEX(Products!$E:$E,MATCH(C86,Products!$A:$A,0))</f>
        <v>89.87</v>
      </c>
      <c r="G86" s="4" t="str">
        <f aca="false">INDEX(Products!$C:$C,MATCH(C86,Products!$A:$A,0))</f>
        <v>Office Supplies</v>
      </c>
      <c r="H86" s="4" t="str">
        <f aca="false">INDEX(Customers!$C:$C,MATCH(D86,Customers!$A:$A,0))</f>
        <v>R08</v>
      </c>
      <c r="I86" s="7" t="n">
        <f aca="false">INDEX(Regions!$C:$C,MATCH(H86,Regions!$A:$A,0))</f>
        <v>0.12</v>
      </c>
      <c r="J86" s="7" t="n">
        <f aca="false">INDEX(Regions!$D:$D,MATCH(H86,Regions!$A:$A,0))</f>
        <v>0.04</v>
      </c>
      <c r="K86" s="4" t="n">
        <f aca="false">INDEX(Regions!$E:$E,MATCH(H86,Regions!$A:$A,0))</f>
        <v>12</v>
      </c>
      <c r="L86" s="5" t="n">
        <f aca="false">E86*F86</f>
        <v>2336.62</v>
      </c>
      <c r="M86" s="5" t="n">
        <f aca="false">IF(E86&gt;=K86,L86*J86,0)</f>
        <v>93.4648</v>
      </c>
      <c r="N86" s="5" t="n">
        <f aca="false">(L86-M86)*I86</f>
        <v>269.178624</v>
      </c>
      <c r="O86" s="5" t="n">
        <f aca="false">L86-M86+N86</f>
        <v>2512.333824</v>
      </c>
    </row>
    <row r="87" customFormat="false" ht="15" hidden="false" customHeight="false" outlineLevel="0" collapsed="false">
      <c r="A87" s="4" t="s">
        <v>426</v>
      </c>
      <c r="B87" s="9" t="n">
        <v>45738</v>
      </c>
      <c r="C87" s="4" t="s">
        <v>66</v>
      </c>
      <c r="D87" s="4" t="s">
        <v>286</v>
      </c>
      <c r="E87" s="4" t="n">
        <v>18</v>
      </c>
      <c r="F87" s="5" t="n">
        <f aca="false">INDEX(Products!$E:$E,MATCH(C87,Products!$A:$A,0))</f>
        <v>55.31</v>
      </c>
      <c r="G87" s="4" t="str">
        <f aca="false">INDEX(Products!$C:$C,MATCH(C87,Products!$A:$A,0))</f>
        <v>Outdoor</v>
      </c>
      <c r="H87" s="4" t="str">
        <f aca="false">INDEX(Customers!$C:$C,MATCH(D87,Customers!$A:$A,0))</f>
        <v>R02</v>
      </c>
      <c r="I87" s="7" t="n">
        <f aca="false">INDEX(Regions!$C:$C,MATCH(H87,Regions!$A:$A,0))</f>
        <v>0.07</v>
      </c>
      <c r="J87" s="7" t="n">
        <f aca="false">INDEX(Regions!$D:$D,MATCH(H87,Regions!$A:$A,0))</f>
        <v>0.04</v>
      </c>
      <c r="K87" s="4" t="n">
        <f aca="false">INDEX(Regions!$E:$E,MATCH(H87,Regions!$A:$A,0))</f>
        <v>12</v>
      </c>
      <c r="L87" s="5" t="n">
        <f aca="false">E87*F87</f>
        <v>995.58</v>
      </c>
      <c r="M87" s="5" t="n">
        <f aca="false">IF(E87&gt;=K87,L87*J87,0)</f>
        <v>39.8232</v>
      </c>
      <c r="N87" s="5" t="n">
        <f aca="false">(L87-M87)*I87</f>
        <v>66.902976</v>
      </c>
      <c r="O87" s="5" t="n">
        <f aca="false">L87-M87+N87</f>
        <v>1022.659776</v>
      </c>
    </row>
    <row r="88" customFormat="false" ht="15" hidden="false" customHeight="false" outlineLevel="0" collapsed="false">
      <c r="A88" s="4" t="s">
        <v>427</v>
      </c>
      <c r="B88" s="9" t="n">
        <v>45958</v>
      </c>
      <c r="C88" s="4" t="s">
        <v>37</v>
      </c>
      <c r="D88" s="4" t="s">
        <v>240</v>
      </c>
      <c r="E88" s="4" t="n">
        <v>12</v>
      </c>
      <c r="F88" s="5" t="n">
        <f aca="false">INDEX(Products!$E:$E,MATCH(C88,Products!$A:$A,0))</f>
        <v>267.59</v>
      </c>
      <c r="G88" s="4" t="str">
        <f aca="false">INDEX(Products!$C:$C,MATCH(C88,Products!$A:$A,0))</f>
        <v>Electronics</v>
      </c>
      <c r="H88" s="4" t="str">
        <f aca="false">INDEX(Customers!$C:$C,MATCH(D88,Customers!$A:$A,0))</f>
        <v>R06</v>
      </c>
      <c r="I88" s="7" t="n">
        <f aca="false">INDEX(Regions!$C:$C,MATCH(H88,Regions!$A:$A,0))</f>
        <v>0.06</v>
      </c>
      <c r="J88" s="7" t="n">
        <f aca="false">INDEX(Regions!$D:$D,MATCH(H88,Regions!$A:$A,0))</f>
        <v>0.04</v>
      </c>
      <c r="K88" s="4" t="n">
        <f aca="false">INDEX(Regions!$E:$E,MATCH(H88,Regions!$A:$A,0))</f>
        <v>12</v>
      </c>
      <c r="L88" s="5" t="n">
        <f aca="false">E88*F88</f>
        <v>3211.08</v>
      </c>
      <c r="M88" s="5" t="n">
        <f aca="false">IF(E88&gt;=K88,L88*J88,0)</f>
        <v>128.4432</v>
      </c>
      <c r="N88" s="5" t="n">
        <f aca="false">(L88-M88)*I88</f>
        <v>184.958208</v>
      </c>
      <c r="O88" s="5" t="n">
        <f aca="false">L88-M88+N88</f>
        <v>3267.595008</v>
      </c>
    </row>
    <row r="89" customFormat="false" ht="15" hidden="false" customHeight="false" outlineLevel="0" collapsed="false">
      <c r="A89" s="4" t="s">
        <v>428</v>
      </c>
      <c r="B89" s="9" t="n">
        <v>46011</v>
      </c>
      <c r="C89" s="4" t="s">
        <v>67</v>
      </c>
      <c r="D89" s="4" t="s">
        <v>279</v>
      </c>
      <c r="E89" s="4" t="n">
        <v>14</v>
      </c>
      <c r="F89" s="5" t="n">
        <f aca="false">INDEX(Products!$E:$E,MATCH(C89,Products!$A:$A,0))</f>
        <v>198.43</v>
      </c>
      <c r="G89" s="4" t="str">
        <f aca="false">INDEX(Products!$C:$C,MATCH(C89,Products!$A:$A,0))</f>
        <v>Apparel</v>
      </c>
      <c r="H89" s="4" t="str">
        <f aca="false">INDEX(Customers!$C:$C,MATCH(D89,Customers!$A:$A,0))</f>
        <v>R07</v>
      </c>
      <c r="I89" s="7" t="n">
        <f aca="false">INDEX(Regions!$C:$C,MATCH(H89,Regions!$A:$A,0))</f>
        <v>0.15</v>
      </c>
      <c r="J89" s="7" t="n">
        <f aca="false">INDEX(Regions!$D:$D,MATCH(H89,Regions!$A:$A,0))</f>
        <v>0.05</v>
      </c>
      <c r="K89" s="4" t="n">
        <f aca="false">INDEX(Regions!$E:$E,MATCH(H89,Regions!$A:$A,0))</f>
        <v>10</v>
      </c>
      <c r="L89" s="5" t="n">
        <f aca="false">E89*F89</f>
        <v>2778.02</v>
      </c>
      <c r="M89" s="5" t="n">
        <f aca="false">IF(E89&gt;=K89,L89*J89,0)</f>
        <v>138.901</v>
      </c>
      <c r="N89" s="5" t="n">
        <f aca="false">(L89-M89)*I89</f>
        <v>395.86785</v>
      </c>
      <c r="O89" s="5" t="n">
        <f aca="false">L89-M89+N89</f>
        <v>3034.98685</v>
      </c>
    </row>
    <row r="90" customFormat="false" ht="15" hidden="false" customHeight="false" outlineLevel="0" collapsed="false">
      <c r="A90" s="4" t="s">
        <v>429</v>
      </c>
      <c r="B90" s="9" t="n">
        <v>45812</v>
      </c>
      <c r="C90" s="4" t="s">
        <v>62</v>
      </c>
      <c r="D90" s="4" t="s">
        <v>242</v>
      </c>
      <c r="E90" s="4" t="n">
        <v>28</v>
      </c>
      <c r="F90" s="5" t="n">
        <f aca="false">INDEX(Products!$E:$E,MATCH(C90,Products!$A:$A,0))</f>
        <v>329.87</v>
      </c>
      <c r="G90" s="4" t="str">
        <f aca="false">INDEX(Products!$C:$C,MATCH(C90,Products!$A:$A,0))</f>
        <v>Electronics</v>
      </c>
      <c r="H90" s="4" t="str">
        <f aca="false">INDEX(Customers!$C:$C,MATCH(D90,Customers!$A:$A,0))</f>
        <v>R08</v>
      </c>
      <c r="I90" s="7" t="n">
        <f aca="false">INDEX(Regions!$C:$C,MATCH(H90,Regions!$A:$A,0))</f>
        <v>0.12</v>
      </c>
      <c r="J90" s="7" t="n">
        <f aca="false">INDEX(Regions!$D:$D,MATCH(H90,Regions!$A:$A,0))</f>
        <v>0.04</v>
      </c>
      <c r="K90" s="4" t="n">
        <f aca="false">INDEX(Regions!$E:$E,MATCH(H90,Regions!$A:$A,0))</f>
        <v>12</v>
      </c>
      <c r="L90" s="5" t="n">
        <f aca="false">E90*F90</f>
        <v>9236.36</v>
      </c>
      <c r="M90" s="5" t="n">
        <f aca="false">IF(E90&gt;=K90,L90*J90,0)</f>
        <v>369.4544</v>
      </c>
      <c r="N90" s="5" t="n">
        <f aca="false">(L90-M90)*I90</f>
        <v>1064.028672</v>
      </c>
      <c r="O90" s="5" t="n">
        <f aca="false">L90-M90+N90</f>
        <v>9930.934272</v>
      </c>
    </row>
    <row r="91" customFormat="false" ht="15" hidden="false" customHeight="false" outlineLevel="0" collapsed="false">
      <c r="A91" s="4" t="s">
        <v>430</v>
      </c>
      <c r="B91" s="9" t="n">
        <v>45905</v>
      </c>
      <c r="C91" s="4" t="s">
        <v>54</v>
      </c>
      <c r="D91" s="4" t="s">
        <v>228</v>
      </c>
      <c r="E91" s="4" t="n">
        <v>28</v>
      </c>
      <c r="F91" s="5" t="n">
        <f aca="false">INDEX(Products!$E:$E,MATCH(C91,Products!$A:$A,0))</f>
        <v>84.7</v>
      </c>
      <c r="G91" s="4" t="str">
        <f aca="false">INDEX(Products!$C:$C,MATCH(C91,Products!$A:$A,0))</f>
        <v>Office Supplies</v>
      </c>
      <c r="H91" s="4" t="str">
        <f aca="false">INDEX(Customers!$C:$C,MATCH(D91,Customers!$A:$A,0))</f>
        <v>R06</v>
      </c>
      <c r="I91" s="7" t="n">
        <f aca="false">INDEX(Regions!$C:$C,MATCH(H91,Regions!$A:$A,0))</f>
        <v>0.06</v>
      </c>
      <c r="J91" s="7" t="n">
        <f aca="false">INDEX(Regions!$D:$D,MATCH(H91,Regions!$A:$A,0))</f>
        <v>0.04</v>
      </c>
      <c r="K91" s="4" t="n">
        <f aca="false">INDEX(Regions!$E:$E,MATCH(H91,Regions!$A:$A,0))</f>
        <v>12</v>
      </c>
      <c r="L91" s="5" t="n">
        <f aca="false">E91*F91</f>
        <v>2371.6</v>
      </c>
      <c r="M91" s="5" t="n">
        <f aca="false">IF(E91&gt;=K91,L91*J91,0)</f>
        <v>94.864</v>
      </c>
      <c r="N91" s="5" t="n">
        <f aca="false">(L91-M91)*I91</f>
        <v>136.60416</v>
      </c>
      <c r="O91" s="5" t="n">
        <f aca="false">L91-M91+N91</f>
        <v>2413.34016</v>
      </c>
    </row>
    <row r="92" customFormat="false" ht="15" hidden="false" customHeight="false" outlineLevel="0" collapsed="false">
      <c r="A92" s="4" t="s">
        <v>431</v>
      </c>
      <c r="B92" s="9" t="n">
        <v>45950</v>
      </c>
      <c r="C92" s="4" t="s">
        <v>42</v>
      </c>
      <c r="D92" s="4" t="s">
        <v>193</v>
      </c>
      <c r="E92" s="4" t="n">
        <v>13</v>
      </c>
      <c r="F92" s="5" t="n">
        <f aca="false">INDEX(Products!$E:$E,MATCH(C92,Products!$A:$A,0))</f>
        <v>156.05</v>
      </c>
      <c r="G92" s="4" t="str">
        <f aca="false">INDEX(Products!$C:$C,MATCH(C92,Products!$A:$A,0))</f>
        <v>Electronics</v>
      </c>
      <c r="H92" s="4" t="str">
        <f aca="false">INDEX(Customers!$C:$C,MATCH(D92,Customers!$A:$A,0))</f>
        <v>R05</v>
      </c>
      <c r="I92" s="7" t="n">
        <f aca="false">INDEX(Regions!$C:$C,MATCH(H92,Regions!$A:$A,0))</f>
        <v>0.0925</v>
      </c>
      <c r="J92" s="7" t="n">
        <f aca="false">INDEX(Regions!$D:$D,MATCH(H92,Regions!$A:$A,0))</f>
        <v>0.06</v>
      </c>
      <c r="K92" s="4" t="n">
        <f aca="false">INDEX(Regions!$E:$E,MATCH(H92,Regions!$A:$A,0))</f>
        <v>8</v>
      </c>
      <c r="L92" s="5" t="n">
        <f aca="false">E92*F92</f>
        <v>2028.65</v>
      </c>
      <c r="M92" s="5" t="n">
        <f aca="false">IF(E92&gt;=K92,L92*J92,0)</f>
        <v>121.719</v>
      </c>
      <c r="N92" s="5" t="n">
        <f aca="false">(L92-M92)*I92</f>
        <v>176.3911175</v>
      </c>
      <c r="O92" s="5" t="n">
        <f aca="false">L92-M92+N92</f>
        <v>2083.3221175</v>
      </c>
    </row>
    <row r="93" customFormat="false" ht="15" hidden="false" customHeight="false" outlineLevel="0" collapsed="false">
      <c r="A93" s="4" t="s">
        <v>432</v>
      </c>
      <c r="B93" s="9" t="n">
        <v>46016</v>
      </c>
      <c r="C93" s="4" t="s">
        <v>73</v>
      </c>
      <c r="D93" s="4" t="s">
        <v>266</v>
      </c>
      <c r="E93" s="4" t="n">
        <v>10</v>
      </c>
      <c r="F93" s="5" t="n">
        <f aca="false">INDEX(Products!$E:$E,MATCH(C93,Products!$A:$A,0))</f>
        <v>180.28</v>
      </c>
      <c r="G93" s="4" t="str">
        <f aca="false">INDEX(Products!$C:$C,MATCH(C93,Products!$A:$A,0))</f>
        <v>Electronics</v>
      </c>
      <c r="H93" s="4" t="str">
        <f aca="false">INDEX(Customers!$C:$C,MATCH(D93,Customers!$A:$A,0))</f>
        <v>R05</v>
      </c>
      <c r="I93" s="7" t="n">
        <f aca="false">INDEX(Regions!$C:$C,MATCH(H93,Regions!$A:$A,0))</f>
        <v>0.0925</v>
      </c>
      <c r="J93" s="7" t="n">
        <f aca="false">INDEX(Regions!$D:$D,MATCH(H93,Regions!$A:$A,0))</f>
        <v>0.06</v>
      </c>
      <c r="K93" s="4" t="n">
        <f aca="false">INDEX(Regions!$E:$E,MATCH(H93,Regions!$A:$A,0))</f>
        <v>8</v>
      </c>
      <c r="L93" s="5" t="n">
        <f aca="false">E93*F93</f>
        <v>1802.8</v>
      </c>
      <c r="M93" s="5" t="n">
        <f aca="false">IF(E93&gt;=K93,L93*J93,0)</f>
        <v>108.168</v>
      </c>
      <c r="N93" s="5" t="n">
        <f aca="false">(L93-M93)*I93</f>
        <v>156.75346</v>
      </c>
      <c r="O93" s="5" t="n">
        <f aca="false">L93-M93+N93</f>
        <v>1851.38546</v>
      </c>
    </row>
    <row r="94" customFormat="false" ht="15" hidden="false" customHeight="false" outlineLevel="0" collapsed="false">
      <c r="A94" s="4" t="s">
        <v>433</v>
      </c>
      <c r="B94" s="9" t="n">
        <v>45995</v>
      </c>
      <c r="C94" s="4" t="s">
        <v>66</v>
      </c>
      <c r="D94" s="4" t="s">
        <v>138</v>
      </c>
      <c r="E94" s="4" t="n">
        <v>27</v>
      </c>
      <c r="F94" s="5" t="n">
        <f aca="false">INDEX(Products!$E:$E,MATCH(C94,Products!$A:$A,0))</f>
        <v>55.31</v>
      </c>
      <c r="G94" s="4" t="str">
        <f aca="false">INDEX(Products!$C:$C,MATCH(C94,Products!$A:$A,0))</f>
        <v>Outdoor</v>
      </c>
      <c r="H94" s="4" t="str">
        <f aca="false">INDEX(Customers!$C:$C,MATCH(D94,Customers!$A:$A,0))</f>
        <v>R02</v>
      </c>
      <c r="I94" s="7" t="n">
        <f aca="false">INDEX(Regions!$C:$C,MATCH(H94,Regions!$A:$A,0))</f>
        <v>0.07</v>
      </c>
      <c r="J94" s="7" t="n">
        <f aca="false">INDEX(Regions!$D:$D,MATCH(H94,Regions!$A:$A,0))</f>
        <v>0.04</v>
      </c>
      <c r="K94" s="4" t="n">
        <f aca="false">INDEX(Regions!$E:$E,MATCH(H94,Regions!$A:$A,0))</f>
        <v>12</v>
      </c>
      <c r="L94" s="5" t="n">
        <f aca="false">E94*F94</f>
        <v>1493.37</v>
      </c>
      <c r="M94" s="5" t="n">
        <f aca="false">IF(E94&gt;=K94,L94*J94,0)</f>
        <v>59.7348</v>
      </c>
      <c r="N94" s="5" t="n">
        <f aca="false">(L94-M94)*I94</f>
        <v>100.354464</v>
      </c>
      <c r="O94" s="5" t="n">
        <f aca="false">L94-M94+N94</f>
        <v>1533.989664</v>
      </c>
    </row>
    <row r="95" customFormat="false" ht="15" hidden="false" customHeight="false" outlineLevel="0" collapsed="false">
      <c r="A95" s="4" t="s">
        <v>434</v>
      </c>
      <c r="B95" s="9" t="n">
        <v>45947</v>
      </c>
      <c r="C95" s="4" t="s">
        <v>79</v>
      </c>
      <c r="D95" s="4" t="s">
        <v>203</v>
      </c>
      <c r="E95" s="4" t="n">
        <v>1</v>
      </c>
      <c r="F95" s="5" t="n">
        <f aca="false">INDEX(Products!$E:$E,MATCH(C95,Products!$A:$A,0))</f>
        <v>53.77</v>
      </c>
      <c r="G95" s="4" t="str">
        <f aca="false">INDEX(Products!$C:$C,MATCH(C95,Products!$A:$A,0))</f>
        <v>Office Supplies</v>
      </c>
      <c r="H95" s="4" t="str">
        <f aca="false">INDEX(Customers!$C:$C,MATCH(D95,Customers!$A:$A,0))</f>
        <v>R07</v>
      </c>
      <c r="I95" s="7" t="n">
        <f aca="false">INDEX(Regions!$C:$C,MATCH(H95,Regions!$A:$A,0))</f>
        <v>0.15</v>
      </c>
      <c r="J95" s="7" t="n">
        <f aca="false">INDEX(Regions!$D:$D,MATCH(H95,Regions!$A:$A,0))</f>
        <v>0.05</v>
      </c>
      <c r="K95" s="4" t="n">
        <f aca="false">INDEX(Regions!$E:$E,MATCH(H95,Regions!$A:$A,0))</f>
        <v>10</v>
      </c>
      <c r="L95" s="5" t="n">
        <f aca="false">E95*F95</f>
        <v>53.77</v>
      </c>
      <c r="M95" s="5" t="n">
        <f aca="false">IF(E95&gt;=K95,L95*J95,0)</f>
        <v>0</v>
      </c>
      <c r="N95" s="5" t="n">
        <f aca="false">(L95-M95)*I95</f>
        <v>8.0655</v>
      </c>
      <c r="O95" s="5" t="n">
        <f aca="false">L95-M95+N95</f>
        <v>61.8355</v>
      </c>
    </row>
    <row r="96" customFormat="false" ht="15" hidden="false" customHeight="false" outlineLevel="0" collapsed="false">
      <c r="A96" s="4" t="s">
        <v>435</v>
      </c>
      <c r="B96" s="9" t="n">
        <v>45912</v>
      </c>
      <c r="C96" s="4" t="s">
        <v>35</v>
      </c>
      <c r="D96" s="4" t="s">
        <v>329</v>
      </c>
      <c r="E96" s="4" t="n">
        <v>20</v>
      </c>
      <c r="F96" s="5" t="n">
        <f aca="false">INDEX(Products!$E:$E,MATCH(C96,Products!$A:$A,0))</f>
        <v>180.72</v>
      </c>
      <c r="G96" s="4" t="str">
        <f aca="false">INDEX(Products!$C:$C,MATCH(C96,Products!$A:$A,0))</f>
        <v>Apparel</v>
      </c>
      <c r="H96" s="4" t="str">
        <f aca="false">INDEX(Customers!$C:$C,MATCH(D96,Customers!$A:$A,0))</f>
        <v>R08</v>
      </c>
      <c r="I96" s="7" t="n">
        <f aca="false">INDEX(Regions!$C:$C,MATCH(H96,Regions!$A:$A,0))</f>
        <v>0.12</v>
      </c>
      <c r="J96" s="7" t="n">
        <f aca="false">INDEX(Regions!$D:$D,MATCH(H96,Regions!$A:$A,0))</f>
        <v>0.04</v>
      </c>
      <c r="K96" s="4" t="n">
        <f aca="false">INDEX(Regions!$E:$E,MATCH(H96,Regions!$A:$A,0))</f>
        <v>12</v>
      </c>
      <c r="L96" s="5" t="n">
        <f aca="false">E96*F96</f>
        <v>3614.4</v>
      </c>
      <c r="M96" s="5" t="n">
        <f aca="false">IF(E96&gt;=K96,L96*J96,0)</f>
        <v>144.576</v>
      </c>
      <c r="N96" s="5" t="n">
        <f aca="false">(L96-M96)*I96</f>
        <v>416.37888</v>
      </c>
      <c r="O96" s="5" t="n">
        <f aca="false">L96-M96+N96</f>
        <v>3886.20288</v>
      </c>
    </row>
    <row r="97" customFormat="false" ht="15" hidden="false" customHeight="false" outlineLevel="0" collapsed="false">
      <c r="A97" s="4" t="s">
        <v>436</v>
      </c>
      <c r="B97" s="9" t="n">
        <v>45775</v>
      </c>
      <c r="C97" s="4" t="s">
        <v>66</v>
      </c>
      <c r="D97" s="4" t="s">
        <v>303</v>
      </c>
      <c r="E97" s="4" t="n">
        <v>26</v>
      </c>
      <c r="F97" s="5" t="n">
        <f aca="false">INDEX(Products!$E:$E,MATCH(C97,Products!$A:$A,0))</f>
        <v>55.31</v>
      </c>
      <c r="G97" s="4" t="str">
        <f aca="false">INDEX(Products!$C:$C,MATCH(C97,Products!$A:$A,0))</f>
        <v>Outdoor</v>
      </c>
      <c r="H97" s="4" t="str">
        <f aca="false">INDEX(Customers!$C:$C,MATCH(D97,Customers!$A:$A,0))</f>
        <v>R08</v>
      </c>
      <c r="I97" s="7" t="n">
        <f aca="false">INDEX(Regions!$C:$C,MATCH(H97,Regions!$A:$A,0))</f>
        <v>0.12</v>
      </c>
      <c r="J97" s="7" t="n">
        <f aca="false">INDEX(Regions!$D:$D,MATCH(H97,Regions!$A:$A,0))</f>
        <v>0.04</v>
      </c>
      <c r="K97" s="4" t="n">
        <f aca="false">INDEX(Regions!$E:$E,MATCH(H97,Regions!$A:$A,0))</f>
        <v>12</v>
      </c>
      <c r="L97" s="5" t="n">
        <f aca="false">E97*F97</f>
        <v>1438.06</v>
      </c>
      <c r="M97" s="5" t="n">
        <f aca="false">IF(E97&gt;=K97,L97*J97,0)</f>
        <v>57.5224</v>
      </c>
      <c r="N97" s="5" t="n">
        <f aca="false">(L97-M97)*I97</f>
        <v>165.664512</v>
      </c>
      <c r="O97" s="5" t="n">
        <f aca="false">L97-M97+N97</f>
        <v>1546.202112</v>
      </c>
    </row>
    <row r="98" customFormat="false" ht="15" hidden="false" customHeight="false" outlineLevel="0" collapsed="false">
      <c r="A98" s="4" t="s">
        <v>437</v>
      </c>
      <c r="B98" s="9" t="n">
        <v>45770</v>
      </c>
      <c r="C98" s="4" t="s">
        <v>103</v>
      </c>
      <c r="D98" s="4" t="s">
        <v>307</v>
      </c>
      <c r="E98" s="4" t="n">
        <v>12</v>
      </c>
      <c r="F98" s="5" t="n">
        <f aca="false">INDEX(Products!$E:$E,MATCH(C98,Products!$A:$A,0))</f>
        <v>125.31</v>
      </c>
      <c r="G98" s="4" t="str">
        <f aca="false">INDEX(Products!$C:$C,MATCH(C98,Products!$A:$A,0))</f>
        <v>Home &amp; Kitchen</v>
      </c>
      <c r="H98" s="4" t="str">
        <f aca="false">INDEX(Customers!$C:$C,MATCH(D98,Customers!$A:$A,0))</f>
        <v>R07</v>
      </c>
      <c r="I98" s="7" t="n">
        <f aca="false">INDEX(Regions!$C:$C,MATCH(H98,Regions!$A:$A,0))</f>
        <v>0.15</v>
      </c>
      <c r="J98" s="7" t="n">
        <f aca="false">INDEX(Regions!$D:$D,MATCH(H98,Regions!$A:$A,0))</f>
        <v>0.05</v>
      </c>
      <c r="K98" s="4" t="n">
        <f aca="false">INDEX(Regions!$E:$E,MATCH(H98,Regions!$A:$A,0))</f>
        <v>10</v>
      </c>
      <c r="L98" s="5" t="n">
        <f aca="false">E98*F98</f>
        <v>1503.72</v>
      </c>
      <c r="M98" s="5" t="n">
        <f aca="false">IF(E98&gt;=K98,L98*J98,0)</f>
        <v>75.186</v>
      </c>
      <c r="N98" s="5" t="n">
        <f aca="false">(L98-M98)*I98</f>
        <v>214.2801</v>
      </c>
      <c r="O98" s="5" t="n">
        <f aca="false">L98-M98+N98</f>
        <v>1642.8141</v>
      </c>
    </row>
    <row r="99" customFormat="false" ht="15" hidden="false" customHeight="false" outlineLevel="0" collapsed="false">
      <c r="A99" s="4" t="s">
        <v>438</v>
      </c>
      <c r="B99" s="9" t="n">
        <v>46005</v>
      </c>
      <c r="C99" s="4" t="s">
        <v>54</v>
      </c>
      <c r="D99" s="4" t="s">
        <v>276</v>
      </c>
      <c r="E99" s="4" t="n">
        <v>9</v>
      </c>
      <c r="F99" s="5" t="n">
        <f aca="false">INDEX(Products!$E:$E,MATCH(C99,Products!$A:$A,0))</f>
        <v>84.7</v>
      </c>
      <c r="G99" s="4" t="str">
        <f aca="false">INDEX(Products!$C:$C,MATCH(C99,Products!$A:$A,0))</f>
        <v>Office Supplies</v>
      </c>
      <c r="H99" s="4" t="str">
        <f aca="false">INDEX(Customers!$C:$C,MATCH(D99,Customers!$A:$A,0))</f>
        <v>R01</v>
      </c>
      <c r="I99" s="7" t="n">
        <f aca="false">INDEX(Regions!$C:$C,MATCH(H99,Regions!$A:$A,0))</f>
        <v>0.0825</v>
      </c>
      <c r="J99" s="7" t="n">
        <f aca="false">INDEX(Regions!$D:$D,MATCH(H99,Regions!$A:$A,0))</f>
        <v>0.05</v>
      </c>
      <c r="K99" s="4" t="n">
        <f aca="false">INDEX(Regions!$E:$E,MATCH(H99,Regions!$A:$A,0))</f>
        <v>10</v>
      </c>
      <c r="L99" s="5" t="n">
        <f aca="false">E99*F99</f>
        <v>762.3</v>
      </c>
      <c r="M99" s="5" t="n">
        <f aca="false">IF(E99&gt;=K99,L99*J99,0)</f>
        <v>0</v>
      </c>
      <c r="N99" s="5" t="n">
        <f aca="false">(L99-M99)*I99</f>
        <v>62.88975</v>
      </c>
      <c r="O99" s="5" t="n">
        <f aca="false">L99-M99+N99</f>
        <v>825.18975</v>
      </c>
    </row>
    <row r="100" customFormat="false" ht="15" hidden="false" customHeight="false" outlineLevel="0" collapsed="false">
      <c r="A100" s="4" t="s">
        <v>439</v>
      </c>
      <c r="B100" s="9" t="n">
        <v>45979</v>
      </c>
      <c r="C100" s="4" t="s">
        <v>46</v>
      </c>
      <c r="D100" s="4" t="s">
        <v>277</v>
      </c>
      <c r="E100" s="4" t="n">
        <v>4</v>
      </c>
      <c r="F100" s="5" t="n">
        <f aca="false">INDEX(Products!$E:$E,MATCH(C100,Products!$A:$A,0))</f>
        <v>37.16</v>
      </c>
      <c r="G100" s="4" t="str">
        <f aca="false">INDEX(Products!$C:$C,MATCH(C100,Products!$A:$A,0))</f>
        <v>Outdoor</v>
      </c>
      <c r="H100" s="4" t="str">
        <f aca="false">INDEX(Customers!$C:$C,MATCH(D100,Customers!$A:$A,0))</f>
        <v>R06</v>
      </c>
      <c r="I100" s="7" t="n">
        <f aca="false">INDEX(Regions!$C:$C,MATCH(H100,Regions!$A:$A,0))</f>
        <v>0.06</v>
      </c>
      <c r="J100" s="7" t="n">
        <f aca="false">INDEX(Regions!$D:$D,MATCH(H100,Regions!$A:$A,0))</f>
        <v>0.04</v>
      </c>
      <c r="K100" s="4" t="n">
        <f aca="false">INDEX(Regions!$E:$E,MATCH(H100,Regions!$A:$A,0))</f>
        <v>12</v>
      </c>
      <c r="L100" s="5" t="n">
        <f aca="false">E100*F100</f>
        <v>148.64</v>
      </c>
      <c r="M100" s="5" t="n">
        <f aca="false">IF(E100&gt;=K100,L100*J100,0)</f>
        <v>0</v>
      </c>
      <c r="N100" s="5" t="n">
        <f aca="false">(L100-M100)*I100</f>
        <v>8.9184</v>
      </c>
      <c r="O100" s="5" t="n">
        <f aca="false">L100-M100+N100</f>
        <v>157.5584</v>
      </c>
    </row>
    <row r="101" customFormat="false" ht="15" hidden="false" customHeight="false" outlineLevel="0" collapsed="false">
      <c r="A101" s="4" t="s">
        <v>440</v>
      </c>
      <c r="B101" s="9" t="n">
        <v>45883</v>
      </c>
      <c r="C101" s="4" t="s">
        <v>32</v>
      </c>
      <c r="D101" s="4" t="s">
        <v>210</v>
      </c>
      <c r="E101" s="4" t="n">
        <v>26</v>
      </c>
      <c r="F101" s="5" t="n">
        <f aca="false">INDEX(Products!$E:$E,MATCH(C101,Products!$A:$A,0))</f>
        <v>112.96</v>
      </c>
      <c r="G101" s="4" t="str">
        <f aca="false">INDEX(Products!$C:$C,MATCH(C101,Products!$A:$A,0))</f>
        <v>Home &amp; Kitchen</v>
      </c>
      <c r="H101" s="4" t="str">
        <f aca="false">INDEX(Customers!$C:$C,MATCH(D101,Customers!$A:$A,0))</f>
        <v>R04</v>
      </c>
      <c r="I101" s="7" t="n">
        <f aca="false">INDEX(Regions!$C:$C,MATCH(H101,Regions!$A:$A,0))</f>
        <v>0.08</v>
      </c>
      <c r="J101" s="7" t="n">
        <f aca="false">INDEX(Regions!$D:$D,MATCH(H101,Regions!$A:$A,0))</f>
        <v>0.05</v>
      </c>
      <c r="K101" s="4" t="n">
        <f aca="false">INDEX(Regions!$E:$E,MATCH(H101,Regions!$A:$A,0))</f>
        <v>10</v>
      </c>
      <c r="L101" s="5" t="n">
        <f aca="false">E101*F101</f>
        <v>2936.96</v>
      </c>
      <c r="M101" s="5" t="n">
        <f aca="false">IF(E101&gt;=K101,L101*J101,0)</f>
        <v>146.848</v>
      </c>
      <c r="N101" s="5" t="n">
        <f aca="false">(L101-M101)*I101</f>
        <v>223.20896</v>
      </c>
      <c r="O101" s="5" t="n">
        <f aca="false">L101-M101+N101</f>
        <v>3013.32096</v>
      </c>
    </row>
    <row r="102" customFormat="false" ht="15" hidden="false" customHeight="false" outlineLevel="0" collapsed="false">
      <c r="A102" s="4" t="s">
        <v>441</v>
      </c>
      <c r="B102" s="9" t="n">
        <v>45725</v>
      </c>
      <c r="C102" s="4" t="s">
        <v>32</v>
      </c>
      <c r="D102" s="4" t="s">
        <v>267</v>
      </c>
      <c r="E102" s="4" t="n">
        <v>12</v>
      </c>
      <c r="F102" s="5" t="n">
        <f aca="false">INDEX(Products!$E:$E,MATCH(C102,Products!$A:$A,0))</f>
        <v>112.96</v>
      </c>
      <c r="G102" s="4" t="str">
        <f aca="false">INDEX(Products!$C:$C,MATCH(C102,Products!$A:$A,0))</f>
        <v>Home &amp; Kitchen</v>
      </c>
      <c r="H102" s="4" t="str">
        <f aca="false">INDEX(Customers!$C:$C,MATCH(D102,Customers!$A:$A,0))</f>
        <v>R04</v>
      </c>
      <c r="I102" s="7" t="n">
        <f aca="false">INDEX(Regions!$C:$C,MATCH(H102,Regions!$A:$A,0))</f>
        <v>0.08</v>
      </c>
      <c r="J102" s="7" t="n">
        <f aca="false">INDEX(Regions!$D:$D,MATCH(H102,Regions!$A:$A,0))</f>
        <v>0.05</v>
      </c>
      <c r="K102" s="4" t="n">
        <f aca="false">INDEX(Regions!$E:$E,MATCH(H102,Regions!$A:$A,0))</f>
        <v>10</v>
      </c>
      <c r="L102" s="5" t="n">
        <f aca="false">E102*F102</f>
        <v>1355.52</v>
      </c>
      <c r="M102" s="5" t="n">
        <f aca="false">IF(E102&gt;=K102,L102*J102,0)</f>
        <v>67.776</v>
      </c>
      <c r="N102" s="5" t="n">
        <f aca="false">(L102-M102)*I102</f>
        <v>103.01952</v>
      </c>
      <c r="O102" s="5" t="n">
        <f aca="false">L102-M102+N102</f>
        <v>1390.76352</v>
      </c>
    </row>
    <row r="103" customFormat="false" ht="15" hidden="false" customHeight="false" outlineLevel="0" collapsed="false">
      <c r="A103" s="4" t="s">
        <v>442</v>
      </c>
      <c r="B103" s="9" t="n">
        <v>45825</v>
      </c>
      <c r="C103" s="4" t="s">
        <v>40</v>
      </c>
      <c r="D103" s="4" t="s">
        <v>329</v>
      </c>
      <c r="E103" s="4" t="n">
        <v>10</v>
      </c>
      <c r="F103" s="5" t="n">
        <f aca="false">INDEX(Products!$E:$E,MATCH(C103,Products!$A:$A,0))</f>
        <v>93.05</v>
      </c>
      <c r="G103" s="4" t="str">
        <f aca="false">INDEX(Products!$C:$C,MATCH(C103,Products!$A:$A,0))</f>
        <v>Office Supplies</v>
      </c>
      <c r="H103" s="4" t="str">
        <f aca="false">INDEX(Customers!$C:$C,MATCH(D103,Customers!$A:$A,0))</f>
        <v>R08</v>
      </c>
      <c r="I103" s="7" t="n">
        <f aca="false">INDEX(Regions!$C:$C,MATCH(H103,Regions!$A:$A,0))</f>
        <v>0.12</v>
      </c>
      <c r="J103" s="7" t="n">
        <f aca="false">INDEX(Regions!$D:$D,MATCH(H103,Regions!$A:$A,0))</f>
        <v>0.04</v>
      </c>
      <c r="K103" s="4" t="n">
        <f aca="false">INDEX(Regions!$E:$E,MATCH(H103,Regions!$A:$A,0))</f>
        <v>12</v>
      </c>
      <c r="L103" s="5" t="n">
        <f aca="false">E103*F103</f>
        <v>930.5</v>
      </c>
      <c r="M103" s="5" t="n">
        <f aca="false">IF(E103&gt;=K103,L103*J103,0)</f>
        <v>0</v>
      </c>
      <c r="N103" s="5" t="n">
        <f aca="false">(L103-M103)*I103</f>
        <v>111.66</v>
      </c>
      <c r="O103" s="5" t="n">
        <f aca="false">L103-M103+N103</f>
        <v>1042.16</v>
      </c>
    </row>
    <row r="104" customFormat="false" ht="15" hidden="false" customHeight="false" outlineLevel="0" collapsed="false">
      <c r="A104" s="4" t="s">
        <v>443</v>
      </c>
      <c r="B104" s="9" t="n">
        <v>45725</v>
      </c>
      <c r="C104" s="4" t="s">
        <v>80</v>
      </c>
      <c r="D104" s="4" t="s">
        <v>179</v>
      </c>
      <c r="E104" s="4" t="n">
        <v>7</v>
      </c>
      <c r="F104" s="5" t="n">
        <f aca="false">INDEX(Products!$E:$E,MATCH(C104,Products!$A:$A,0))</f>
        <v>479.87</v>
      </c>
      <c r="G104" s="4" t="str">
        <f aca="false">INDEX(Products!$C:$C,MATCH(C104,Products!$A:$A,0))</f>
        <v>Office Supplies</v>
      </c>
      <c r="H104" s="4" t="str">
        <f aca="false">INDEX(Customers!$C:$C,MATCH(D104,Customers!$A:$A,0))</f>
        <v>R04</v>
      </c>
      <c r="I104" s="7" t="n">
        <f aca="false">INDEX(Regions!$C:$C,MATCH(H104,Regions!$A:$A,0))</f>
        <v>0.08</v>
      </c>
      <c r="J104" s="7" t="n">
        <f aca="false">INDEX(Regions!$D:$D,MATCH(H104,Regions!$A:$A,0))</f>
        <v>0.05</v>
      </c>
      <c r="K104" s="4" t="n">
        <f aca="false">INDEX(Regions!$E:$E,MATCH(H104,Regions!$A:$A,0))</f>
        <v>10</v>
      </c>
      <c r="L104" s="5" t="n">
        <f aca="false">E104*F104</f>
        <v>3359.09</v>
      </c>
      <c r="M104" s="5" t="n">
        <f aca="false">IF(E104&gt;=K104,L104*J104,0)</f>
        <v>0</v>
      </c>
      <c r="N104" s="5" t="n">
        <f aca="false">(L104-M104)*I104</f>
        <v>268.7272</v>
      </c>
      <c r="O104" s="5" t="n">
        <f aca="false">L104-M104+N104</f>
        <v>3627.8172</v>
      </c>
    </row>
    <row r="105" customFormat="false" ht="15" hidden="false" customHeight="false" outlineLevel="0" collapsed="false">
      <c r="A105" s="4" t="s">
        <v>444</v>
      </c>
      <c r="B105" s="9" t="n">
        <v>45929</v>
      </c>
      <c r="C105" s="4" t="s">
        <v>96</v>
      </c>
      <c r="D105" s="4" t="s">
        <v>322</v>
      </c>
      <c r="E105" s="4" t="n">
        <v>12</v>
      </c>
      <c r="F105" s="5" t="n">
        <f aca="false">INDEX(Products!$E:$E,MATCH(C105,Products!$A:$A,0))</f>
        <v>195.64</v>
      </c>
      <c r="G105" s="4" t="str">
        <f aca="false">INDEX(Products!$C:$C,MATCH(C105,Products!$A:$A,0))</f>
        <v>Office Supplies</v>
      </c>
      <c r="H105" s="4" t="str">
        <f aca="false">INDEX(Customers!$C:$C,MATCH(D105,Customers!$A:$A,0))</f>
        <v>R03</v>
      </c>
      <c r="I105" s="7" t="n">
        <f aca="false">INDEX(Regions!$C:$C,MATCH(H105,Regions!$A:$A,0))</f>
        <v>0.0625</v>
      </c>
      <c r="J105" s="7" t="n">
        <f aca="false">INDEX(Regions!$D:$D,MATCH(H105,Regions!$A:$A,0))</f>
        <v>0.03</v>
      </c>
      <c r="K105" s="4" t="n">
        <f aca="false">INDEX(Regions!$E:$E,MATCH(H105,Regions!$A:$A,0))</f>
        <v>15</v>
      </c>
      <c r="L105" s="5" t="n">
        <f aca="false">E105*F105</f>
        <v>2347.68</v>
      </c>
      <c r="M105" s="5" t="n">
        <f aca="false">IF(E105&gt;=K105,L105*J105,0)</f>
        <v>0</v>
      </c>
      <c r="N105" s="5" t="n">
        <f aca="false">(L105-M105)*I105</f>
        <v>146.73</v>
      </c>
      <c r="O105" s="5" t="n">
        <f aca="false">L105-M105+N105</f>
        <v>2494.41</v>
      </c>
    </row>
    <row r="106" customFormat="false" ht="15" hidden="false" customHeight="false" outlineLevel="0" collapsed="false">
      <c r="A106" s="4" t="s">
        <v>445</v>
      </c>
      <c r="B106" s="9" t="n">
        <v>45742</v>
      </c>
      <c r="C106" s="4" t="s">
        <v>92</v>
      </c>
      <c r="D106" s="4" t="s">
        <v>329</v>
      </c>
      <c r="E106" s="4" t="n">
        <v>9</v>
      </c>
      <c r="F106" s="5" t="n">
        <f aca="false">INDEX(Products!$E:$E,MATCH(C106,Products!$A:$A,0))</f>
        <v>333.4</v>
      </c>
      <c r="G106" s="4" t="str">
        <f aca="false">INDEX(Products!$C:$C,MATCH(C106,Products!$A:$A,0))</f>
        <v>Outdoor</v>
      </c>
      <c r="H106" s="4" t="str">
        <f aca="false">INDEX(Customers!$C:$C,MATCH(D106,Customers!$A:$A,0))</f>
        <v>R08</v>
      </c>
      <c r="I106" s="7" t="n">
        <f aca="false">INDEX(Regions!$C:$C,MATCH(H106,Regions!$A:$A,0))</f>
        <v>0.12</v>
      </c>
      <c r="J106" s="7" t="n">
        <f aca="false">INDEX(Regions!$D:$D,MATCH(H106,Regions!$A:$A,0))</f>
        <v>0.04</v>
      </c>
      <c r="K106" s="4" t="n">
        <f aca="false">INDEX(Regions!$E:$E,MATCH(H106,Regions!$A:$A,0))</f>
        <v>12</v>
      </c>
      <c r="L106" s="5" t="n">
        <f aca="false">E106*F106</f>
        <v>3000.6</v>
      </c>
      <c r="M106" s="5" t="n">
        <f aca="false">IF(E106&gt;=K106,L106*J106,0)</f>
        <v>0</v>
      </c>
      <c r="N106" s="5" t="n">
        <f aca="false">(L106-M106)*I106</f>
        <v>360.072</v>
      </c>
      <c r="O106" s="5" t="n">
        <f aca="false">L106-M106+N106</f>
        <v>3360.672</v>
      </c>
    </row>
    <row r="107" customFormat="false" ht="15" hidden="false" customHeight="false" outlineLevel="0" collapsed="false">
      <c r="A107" s="4" t="s">
        <v>446</v>
      </c>
      <c r="B107" s="9" t="n">
        <v>45904</v>
      </c>
      <c r="C107" s="4" t="s">
        <v>62</v>
      </c>
      <c r="D107" s="4" t="s">
        <v>329</v>
      </c>
      <c r="E107" s="4" t="n">
        <v>27</v>
      </c>
      <c r="F107" s="5" t="n">
        <f aca="false">INDEX(Products!$E:$E,MATCH(C107,Products!$A:$A,0))</f>
        <v>329.87</v>
      </c>
      <c r="G107" s="4" t="str">
        <f aca="false">INDEX(Products!$C:$C,MATCH(C107,Products!$A:$A,0))</f>
        <v>Electronics</v>
      </c>
      <c r="H107" s="4" t="str">
        <f aca="false">INDEX(Customers!$C:$C,MATCH(D107,Customers!$A:$A,0))</f>
        <v>R08</v>
      </c>
      <c r="I107" s="7" t="n">
        <f aca="false">INDEX(Regions!$C:$C,MATCH(H107,Regions!$A:$A,0))</f>
        <v>0.12</v>
      </c>
      <c r="J107" s="7" t="n">
        <f aca="false">INDEX(Regions!$D:$D,MATCH(H107,Regions!$A:$A,0))</f>
        <v>0.04</v>
      </c>
      <c r="K107" s="4" t="n">
        <f aca="false">INDEX(Regions!$E:$E,MATCH(H107,Regions!$A:$A,0))</f>
        <v>12</v>
      </c>
      <c r="L107" s="5" t="n">
        <f aca="false">E107*F107</f>
        <v>8906.49</v>
      </c>
      <c r="M107" s="5" t="n">
        <f aca="false">IF(E107&gt;=K107,L107*J107,0)</f>
        <v>356.2596</v>
      </c>
      <c r="N107" s="5" t="n">
        <f aca="false">(L107-M107)*I107</f>
        <v>1026.027648</v>
      </c>
      <c r="O107" s="5" t="n">
        <f aca="false">L107-M107+N107</f>
        <v>9576.258048</v>
      </c>
    </row>
    <row r="108" customFormat="false" ht="15" hidden="false" customHeight="false" outlineLevel="0" collapsed="false">
      <c r="A108" s="4" t="s">
        <v>447</v>
      </c>
      <c r="B108" s="9" t="n">
        <v>45831</v>
      </c>
      <c r="C108" s="4" t="s">
        <v>66</v>
      </c>
      <c r="D108" s="4" t="s">
        <v>298</v>
      </c>
      <c r="E108" s="4" t="n">
        <v>28</v>
      </c>
      <c r="F108" s="5" t="n">
        <f aca="false">INDEX(Products!$E:$E,MATCH(C108,Products!$A:$A,0))</f>
        <v>55.31</v>
      </c>
      <c r="G108" s="4" t="str">
        <f aca="false">INDEX(Products!$C:$C,MATCH(C108,Products!$A:$A,0))</f>
        <v>Outdoor</v>
      </c>
      <c r="H108" s="4" t="str">
        <f aca="false">INDEX(Customers!$C:$C,MATCH(D108,Customers!$A:$A,0))</f>
        <v>R08</v>
      </c>
      <c r="I108" s="7" t="n">
        <f aca="false">INDEX(Regions!$C:$C,MATCH(H108,Regions!$A:$A,0))</f>
        <v>0.12</v>
      </c>
      <c r="J108" s="7" t="n">
        <f aca="false">INDEX(Regions!$D:$D,MATCH(H108,Regions!$A:$A,0))</f>
        <v>0.04</v>
      </c>
      <c r="K108" s="4" t="n">
        <f aca="false">INDEX(Regions!$E:$E,MATCH(H108,Regions!$A:$A,0))</f>
        <v>12</v>
      </c>
      <c r="L108" s="5" t="n">
        <f aca="false">E108*F108</f>
        <v>1548.68</v>
      </c>
      <c r="M108" s="5" t="n">
        <f aca="false">IF(E108&gt;=K108,L108*J108,0)</f>
        <v>61.9472</v>
      </c>
      <c r="N108" s="5" t="n">
        <f aca="false">(L108-M108)*I108</f>
        <v>178.407936</v>
      </c>
      <c r="O108" s="5" t="n">
        <f aca="false">L108-M108+N108</f>
        <v>1665.140736</v>
      </c>
    </row>
    <row r="109" customFormat="false" ht="15" hidden="false" customHeight="false" outlineLevel="0" collapsed="false">
      <c r="A109" s="4" t="s">
        <v>448</v>
      </c>
      <c r="B109" s="9" t="n">
        <v>45730</v>
      </c>
      <c r="C109" s="4" t="s">
        <v>44</v>
      </c>
      <c r="D109" s="4" t="s">
        <v>244</v>
      </c>
      <c r="E109" s="4" t="n">
        <v>3</v>
      </c>
      <c r="F109" s="5" t="n">
        <f aca="false">INDEX(Products!$E:$E,MATCH(C109,Products!$A:$A,0))</f>
        <v>393.99</v>
      </c>
      <c r="G109" s="4" t="str">
        <f aca="false">INDEX(Products!$C:$C,MATCH(C109,Products!$A:$A,0))</f>
        <v>Office Supplies</v>
      </c>
      <c r="H109" s="4" t="str">
        <f aca="false">INDEX(Customers!$C:$C,MATCH(D109,Customers!$A:$A,0))</f>
        <v>R07</v>
      </c>
      <c r="I109" s="7" t="n">
        <f aca="false">INDEX(Regions!$C:$C,MATCH(H109,Regions!$A:$A,0))</f>
        <v>0.15</v>
      </c>
      <c r="J109" s="7" t="n">
        <f aca="false">INDEX(Regions!$D:$D,MATCH(H109,Regions!$A:$A,0))</f>
        <v>0.05</v>
      </c>
      <c r="K109" s="4" t="n">
        <f aca="false">INDEX(Regions!$E:$E,MATCH(H109,Regions!$A:$A,0))</f>
        <v>10</v>
      </c>
      <c r="L109" s="5" t="n">
        <f aca="false">E109*F109</f>
        <v>1181.97</v>
      </c>
      <c r="M109" s="5" t="n">
        <f aca="false">IF(E109&gt;=K109,L109*J109,0)</f>
        <v>0</v>
      </c>
      <c r="N109" s="5" t="n">
        <f aca="false">(L109-M109)*I109</f>
        <v>177.2955</v>
      </c>
      <c r="O109" s="5" t="n">
        <f aca="false">L109-M109+N109</f>
        <v>1359.2655</v>
      </c>
    </row>
    <row r="110" customFormat="false" ht="15" hidden="false" customHeight="false" outlineLevel="0" collapsed="false">
      <c r="A110" s="4" t="s">
        <v>449</v>
      </c>
      <c r="B110" s="9" t="n">
        <v>46003</v>
      </c>
      <c r="C110" s="4" t="s">
        <v>58</v>
      </c>
      <c r="D110" s="4" t="s">
        <v>319</v>
      </c>
      <c r="E110" s="4" t="n">
        <v>22</v>
      </c>
      <c r="F110" s="5" t="n">
        <f aca="false">INDEX(Products!$E:$E,MATCH(C110,Products!$A:$A,0))</f>
        <v>459.72</v>
      </c>
      <c r="G110" s="4" t="str">
        <f aca="false">INDEX(Products!$C:$C,MATCH(C110,Products!$A:$A,0))</f>
        <v>Office Supplies</v>
      </c>
      <c r="H110" s="4" t="str">
        <f aca="false">INDEX(Customers!$C:$C,MATCH(D110,Customers!$A:$A,0))</f>
        <v>R05</v>
      </c>
      <c r="I110" s="7" t="n">
        <f aca="false">INDEX(Regions!$C:$C,MATCH(H110,Regions!$A:$A,0))</f>
        <v>0.0925</v>
      </c>
      <c r="J110" s="7" t="n">
        <f aca="false">INDEX(Regions!$D:$D,MATCH(H110,Regions!$A:$A,0))</f>
        <v>0.06</v>
      </c>
      <c r="K110" s="4" t="n">
        <f aca="false">INDEX(Regions!$E:$E,MATCH(H110,Regions!$A:$A,0))</f>
        <v>8</v>
      </c>
      <c r="L110" s="5" t="n">
        <f aca="false">E110*F110</f>
        <v>10113.84</v>
      </c>
      <c r="M110" s="5" t="n">
        <f aca="false">IF(E110&gt;=K110,L110*J110,0)</f>
        <v>606.8304</v>
      </c>
      <c r="N110" s="5" t="n">
        <f aca="false">(L110-M110)*I110</f>
        <v>879.398388</v>
      </c>
      <c r="O110" s="5" t="n">
        <f aca="false">L110-M110+N110</f>
        <v>10386.407988</v>
      </c>
    </row>
    <row r="111" customFormat="false" ht="15" hidden="false" customHeight="false" outlineLevel="0" collapsed="false">
      <c r="A111" s="4" t="s">
        <v>450</v>
      </c>
      <c r="B111" s="9" t="n">
        <v>45943</v>
      </c>
      <c r="C111" s="4" t="s">
        <v>79</v>
      </c>
      <c r="D111" s="4" t="s">
        <v>317</v>
      </c>
      <c r="E111" s="4" t="n">
        <v>26</v>
      </c>
      <c r="F111" s="5" t="n">
        <f aca="false">INDEX(Products!$E:$E,MATCH(C111,Products!$A:$A,0))</f>
        <v>53.77</v>
      </c>
      <c r="G111" s="4" t="str">
        <f aca="false">INDEX(Products!$C:$C,MATCH(C111,Products!$A:$A,0))</f>
        <v>Office Supplies</v>
      </c>
      <c r="H111" s="4" t="str">
        <f aca="false">INDEX(Customers!$C:$C,MATCH(D111,Customers!$A:$A,0))</f>
        <v>R02</v>
      </c>
      <c r="I111" s="7" t="n">
        <f aca="false">INDEX(Regions!$C:$C,MATCH(H111,Regions!$A:$A,0))</f>
        <v>0.07</v>
      </c>
      <c r="J111" s="7" t="n">
        <f aca="false">INDEX(Regions!$D:$D,MATCH(H111,Regions!$A:$A,0))</f>
        <v>0.04</v>
      </c>
      <c r="K111" s="4" t="n">
        <f aca="false">INDEX(Regions!$E:$E,MATCH(H111,Regions!$A:$A,0))</f>
        <v>12</v>
      </c>
      <c r="L111" s="5" t="n">
        <f aca="false">E111*F111</f>
        <v>1398.02</v>
      </c>
      <c r="M111" s="5" t="n">
        <f aca="false">IF(E111&gt;=K111,L111*J111,0)</f>
        <v>55.9208</v>
      </c>
      <c r="N111" s="5" t="n">
        <f aca="false">(L111-M111)*I111</f>
        <v>93.946944</v>
      </c>
      <c r="O111" s="5" t="n">
        <f aca="false">L111-M111+N111</f>
        <v>1436.046144</v>
      </c>
    </row>
    <row r="112" customFormat="false" ht="15" hidden="false" customHeight="false" outlineLevel="0" collapsed="false">
      <c r="A112" s="4" t="s">
        <v>451</v>
      </c>
      <c r="B112" s="9" t="n">
        <v>45860</v>
      </c>
      <c r="C112" s="4" t="s">
        <v>75</v>
      </c>
      <c r="D112" s="4" t="s">
        <v>157</v>
      </c>
      <c r="E112" s="4" t="n">
        <v>26</v>
      </c>
      <c r="F112" s="5" t="n">
        <f aca="false">INDEX(Products!$E:$E,MATCH(C112,Products!$A:$A,0))</f>
        <v>502.27</v>
      </c>
      <c r="G112" s="4" t="str">
        <f aca="false">INDEX(Products!$C:$C,MATCH(C112,Products!$A:$A,0))</f>
        <v>Office Supplies</v>
      </c>
      <c r="H112" s="4" t="str">
        <f aca="false">INDEX(Customers!$C:$C,MATCH(D112,Customers!$A:$A,0))</f>
        <v>R01</v>
      </c>
      <c r="I112" s="7" t="n">
        <f aca="false">INDEX(Regions!$C:$C,MATCH(H112,Regions!$A:$A,0))</f>
        <v>0.0825</v>
      </c>
      <c r="J112" s="7" t="n">
        <f aca="false">INDEX(Regions!$D:$D,MATCH(H112,Regions!$A:$A,0))</f>
        <v>0.05</v>
      </c>
      <c r="K112" s="4" t="n">
        <f aca="false">INDEX(Regions!$E:$E,MATCH(H112,Regions!$A:$A,0))</f>
        <v>10</v>
      </c>
      <c r="L112" s="5" t="n">
        <f aca="false">E112*F112</f>
        <v>13059.02</v>
      </c>
      <c r="M112" s="5" t="n">
        <f aca="false">IF(E112&gt;=K112,L112*J112,0)</f>
        <v>652.951</v>
      </c>
      <c r="N112" s="5" t="n">
        <f aca="false">(L112-M112)*I112</f>
        <v>1023.5006925</v>
      </c>
      <c r="O112" s="5" t="n">
        <f aca="false">L112-M112+N112</f>
        <v>13429.5696925</v>
      </c>
    </row>
    <row r="113" customFormat="false" ht="15" hidden="false" customHeight="false" outlineLevel="0" collapsed="false">
      <c r="A113" s="4" t="s">
        <v>452</v>
      </c>
      <c r="B113" s="9" t="n">
        <v>45721</v>
      </c>
      <c r="C113" s="4" t="s">
        <v>26</v>
      </c>
      <c r="D113" s="4" t="s">
        <v>199</v>
      </c>
      <c r="E113" s="4" t="n">
        <v>18</v>
      </c>
      <c r="F113" s="5" t="n">
        <f aca="false">INDEX(Products!$E:$E,MATCH(C113,Products!$A:$A,0))</f>
        <v>89.87</v>
      </c>
      <c r="G113" s="4" t="str">
        <f aca="false">INDEX(Products!$C:$C,MATCH(C113,Products!$A:$A,0))</f>
        <v>Office Supplies</v>
      </c>
      <c r="H113" s="4" t="str">
        <f aca="false">INDEX(Customers!$C:$C,MATCH(D113,Customers!$A:$A,0))</f>
        <v>R03</v>
      </c>
      <c r="I113" s="7" t="n">
        <f aca="false">INDEX(Regions!$C:$C,MATCH(H113,Regions!$A:$A,0))</f>
        <v>0.0625</v>
      </c>
      <c r="J113" s="7" t="n">
        <f aca="false">INDEX(Regions!$D:$D,MATCH(H113,Regions!$A:$A,0))</f>
        <v>0.03</v>
      </c>
      <c r="K113" s="4" t="n">
        <f aca="false">INDEX(Regions!$E:$E,MATCH(H113,Regions!$A:$A,0))</f>
        <v>15</v>
      </c>
      <c r="L113" s="5" t="n">
        <f aca="false">E113*F113</f>
        <v>1617.66</v>
      </c>
      <c r="M113" s="5" t="n">
        <f aca="false">IF(E113&gt;=K113,L113*J113,0)</f>
        <v>48.5298</v>
      </c>
      <c r="N113" s="5" t="n">
        <f aca="false">(L113-M113)*I113</f>
        <v>98.0706375</v>
      </c>
      <c r="O113" s="5" t="n">
        <f aca="false">L113-M113+N113</f>
        <v>1667.2008375</v>
      </c>
    </row>
    <row r="114" customFormat="false" ht="15" hidden="false" customHeight="false" outlineLevel="0" collapsed="false">
      <c r="A114" s="4" t="s">
        <v>453</v>
      </c>
      <c r="B114" s="9" t="n">
        <v>46002</v>
      </c>
      <c r="C114" s="4" t="s">
        <v>86</v>
      </c>
      <c r="D114" s="4" t="s">
        <v>224</v>
      </c>
      <c r="E114" s="4" t="n">
        <v>22</v>
      </c>
      <c r="F114" s="5" t="n">
        <f aca="false">INDEX(Products!$E:$E,MATCH(C114,Products!$A:$A,0))</f>
        <v>169.14</v>
      </c>
      <c r="G114" s="4" t="str">
        <f aca="false">INDEX(Products!$C:$C,MATCH(C114,Products!$A:$A,0))</f>
        <v>Office Supplies</v>
      </c>
      <c r="H114" s="4" t="str">
        <f aca="false">INDEX(Customers!$C:$C,MATCH(D114,Customers!$A:$A,0))</f>
        <v>R01</v>
      </c>
      <c r="I114" s="7" t="n">
        <f aca="false">INDEX(Regions!$C:$C,MATCH(H114,Regions!$A:$A,0))</f>
        <v>0.0825</v>
      </c>
      <c r="J114" s="7" t="n">
        <f aca="false">INDEX(Regions!$D:$D,MATCH(H114,Regions!$A:$A,0))</f>
        <v>0.05</v>
      </c>
      <c r="K114" s="4" t="n">
        <f aca="false">INDEX(Regions!$E:$E,MATCH(H114,Regions!$A:$A,0))</f>
        <v>10</v>
      </c>
      <c r="L114" s="5" t="n">
        <f aca="false">E114*F114</f>
        <v>3721.08</v>
      </c>
      <c r="M114" s="5" t="n">
        <f aca="false">IF(E114&gt;=K114,L114*J114,0)</f>
        <v>186.054</v>
      </c>
      <c r="N114" s="5" t="n">
        <f aca="false">(L114-M114)*I114</f>
        <v>291.639645</v>
      </c>
      <c r="O114" s="5" t="n">
        <f aca="false">L114-M114+N114</f>
        <v>3826.665645</v>
      </c>
    </row>
    <row r="115" customFormat="false" ht="15" hidden="false" customHeight="false" outlineLevel="0" collapsed="false">
      <c r="A115" s="4" t="s">
        <v>454</v>
      </c>
      <c r="B115" s="9" t="n">
        <v>45984</v>
      </c>
      <c r="C115" s="4" t="s">
        <v>62</v>
      </c>
      <c r="D115" s="4" t="s">
        <v>267</v>
      </c>
      <c r="E115" s="4" t="n">
        <v>13</v>
      </c>
      <c r="F115" s="5" t="n">
        <f aca="false">INDEX(Products!$E:$E,MATCH(C115,Products!$A:$A,0))</f>
        <v>329.87</v>
      </c>
      <c r="G115" s="4" t="str">
        <f aca="false">INDEX(Products!$C:$C,MATCH(C115,Products!$A:$A,0))</f>
        <v>Electronics</v>
      </c>
      <c r="H115" s="4" t="str">
        <f aca="false">INDEX(Customers!$C:$C,MATCH(D115,Customers!$A:$A,0))</f>
        <v>R04</v>
      </c>
      <c r="I115" s="7" t="n">
        <f aca="false">INDEX(Regions!$C:$C,MATCH(H115,Regions!$A:$A,0))</f>
        <v>0.08</v>
      </c>
      <c r="J115" s="7" t="n">
        <f aca="false">INDEX(Regions!$D:$D,MATCH(H115,Regions!$A:$A,0))</f>
        <v>0.05</v>
      </c>
      <c r="K115" s="4" t="n">
        <f aca="false">INDEX(Regions!$E:$E,MATCH(H115,Regions!$A:$A,0))</f>
        <v>10</v>
      </c>
      <c r="L115" s="5" t="n">
        <f aca="false">E115*F115</f>
        <v>4288.31</v>
      </c>
      <c r="M115" s="5" t="n">
        <f aca="false">IF(E115&gt;=K115,L115*J115,0)</f>
        <v>214.4155</v>
      </c>
      <c r="N115" s="5" t="n">
        <f aca="false">(L115-M115)*I115</f>
        <v>325.91156</v>
      </c>
      <c r="O115" s="5" t="n">
        <f aca="false">L115-M115+N115</f>
        <v>4399.80606</v>
      </c>
    </row>
    <row r="116" customFormat="false" ht="15" hidden="false" customHeight="false" outlineLevel="0" collapsed="false">
      <c r="A116" s="4" t="s">
        <v>455</v>
      </c>
      <c r="B116" s="9" t="n">
        <v>45777</v>
      </c>
      <c r="C116" s="4" t="s">
        <v>75</v>
      </c>
      <c r="D116" s="4" t="s">
        <v>161</v>
      </c>
      <c r="E116" s="4" t="n">
        <v>22</v>
      </c>
      <c r="F116" s="5" t="n">
        <f aca="false">INDEX(Products!$E:$E,MATCH(C116,Products!$A:$A,0))</f>
        <v>502.27</v>
      </c>
      <c r="G116" s="4" t="str">
        <f aca="false">INDEX(Products!$C:$C,MATCH(C116,Products!$A:$A,0))</f>
        <v>Office Supplies</v>
      </c>
      <c r="H116" s="4" t="str">
        <f aca="false">INDEX(Customers!$C:$C,MATCH(D116,Customers!$A:$A,0))</f>
        <v>R01</v>
      </c>
      <c r="I116" s="7" t="n">
        <f aca="false">INDEX(Regions!$C:$C,MATCH(H116,Regions!$A:$A,0))</f>
        <v>0.0825</v>
      </c>
      <c r="J116" s="7" t="n">
        <f aca="false">INDEX(Regions!$D:$D,MATCH(H116,Regions!$A:$A,0))</f>
        <v>0.05</v>
      </c>
      <c r="K116" s="4" t="n">
        <f aca="false">INDEX(Regions!$E:$E,MATCH(H116,Regions!$A:$A,0))</f>
        <v>10</v>
      </c>
      <c r="L116" s="5" t="n">
        <f aca="false">E116*F116</f>
        <v>11049.94</v>
      </c>
      <c r="M116" s="5" t="n">
        <f aca="false">IF(E116&gt;=K116,L116*J116,0)</f>
        <v>552.497</v>
      </c>
      <c r="N116" s="5" t="n">
        <f aca="false">(L116-M116)*I116</f>
        <v>866.0390475</v>
      </c>
      <c r="O116" s="5" t="n">
        <f aca="false">L116-M116+N116</f>
        <v>11363.4820475</v>
      </c>
    </row>
    <row r="117" customFormat="false" ht="15" hidden="false" customHeight="false" outlineLevel="0" collapsed="false">
      <c r="A117" s="4" t="s">
        <v>456</v>
      </c>
      <c r="B117" s="9" t="n">
        <v>45945</v>
      </c>
      <c r="C117" s="4" t="s">
        <v>88</v>
      </c>
      <c r="D117" s="4" t="s">
        <v>140</v>
      </c>
      <c r="E117" s="4" t="n">
        <v>20</v>
      </c>
      <c r="F117" s="5" t="n">
        <f aca="false">INDEX(Products!$E:$E,MATCH(C117,Products!$A:$A,0))</f>
        <v>94.16</v>
      </c>
      <c r="G117" s="4" t="str">
        <f aca="false">INDEX(Products!$C:$C,MATCH(C117,Products!$A:$A,0))</f>
        <v>Office Supplies</v>
      </c>
      <c r="H117" s="4" t="str">
        <f aca="false">INDEX(Customers!$C:$C,MATCH(D117,Customers!$A:$A,0))</f>
        <v>R04</v>
      </c>
      <c r="I117" s="7" t="n">
        <f aca="false">INDEX(Regions!$C:$C,MATCH(H117,Regions!$A:$A,0))</f>
        <v>0.08</v>
      </c>
      <c r="J117" s="7" t="n">
        <f aca="false">INDEX(Regions!$D:$D,MATCH(H117,Regions!$A:$A,0))</f>
        <v>0.05</v>
      </c>
      <c r="K117" s="4" t="n">
        <f aca="false">INDEX(Regions!$E:$E,MATCH(H117,Regions!$A:$A,0))</f>
        <v>10</v>
      </c>
      <c r="L117" s="5" t="n">
        <f aca="false">E117*F117</f>
        <v>1883.2</v>
      </c>
      <c r="M117" s="5" t="n">
        <f aca="false">IF(E117&gt;=K117,L117*J117,0)</f>
        <v>94.16</v>
      </c>
      <c r="N117" s="5" t="n">
        <f aca="false">(L117-M117)*I117</f>
        <v>143.1232</v>
      </c>
      <c r="O117" s="5" t="n">
        <f aca="false">L117-M117+N117</f>
        <v>1932.1632</v>
      </c>
    </row>
    <row r="118" customFormat="false" ht="15" hidden="false" customHeight="false" outlineLevel="0" collapsed="false">
      <c r="A118" s="4" t="s">
        <v>457</v>
      </c>
      <c r="B118" s="9" t="n">
        <v>45771</v>
      </c>
      <c r="C118" s="4" t="s">
        <v>69</v>
      </c>
      <c r="D118" s="4" t="s">
        <v>330</v>
      </c>
      <c r="E118" s="4" t="n">
        <v>20</v>
      </c>
      <c r="F118" s="5" t="n">
        <f aca="false">INDEX(Products!$E:$E,MATCH(C118,Products!$A:$A,0))</f>
        <v>173.5</v>
      </c>
      <c r="G118" s="4" t="str">
        <f aca="false">INDEX(Products!$C:$C,MATCH(C118,Products!$A:$A,0))</f>
        <v>Home &amp; Kitchen</v>
      </c>
      <c r="H118" s="4" t="str">
        <f aca="false">INDEX(Customers!$C:$C,MATCH(D118,Customers!$A:$A,0))</f>
        <v>R02</v>
      </c>
      <c r="I118" s="7" t="n">
        <f aca="false">INDEX(Regions!$C:$C,MATCH(H118,Regions!$A:$A,0))</f>
        <v>0.07</v>
      </c>
      <c r="J118" s="7" t="n">
        <f aca="false">INDEX(Regions!$D:$D,MATCH(H118,Regions!$A:$A,0))</f>
        <v>0.04</v>
      </c>
      <c r="K118" s="4" t="n">
        <f aca="false">INDEX(Regions!$E:$E,MATCH(H118,Regions!$A:$A,0))</f>
        <v>12</v>
      </c>
      <c r="L118" s="5" t="n">
        <f aca="false">E118*F118</f>
        <v>3470</v>
      </c>
      <c r="M118" s="5" t="n">
        <f aca="false">IF(E118&gt;=K118,L118*J118,0)</f>
        <v>138.8</v>
      </c>
      <c r="N118" s="5" t="n">
        <f aca="false">(L118-M118)*I118</f>
        <v>233.184</v>
      </c>
      <c r="O118" s="5" t="n">
        <f aca="false">L118-M118+N118</f>
        <v>3564.384</v>
      </c>
    </row>
    <row r="119" customFormat="false" ht="15" hidden="false" customHeight="false" outlineLevel="0" collapsed="false">
      <c r="A119" s="4" t="s">
        <v>458</v>
      </c>
      <c r="B119" s="9" t="n">
        <v>45895</v>
      </c>
      <c r="C119" s="4" t="s">
        <v>37</v>
      </c>
      <c r="D119" s="4" t="s">
        <v>279</v>
      </c>
      <c r="E119" s="4" t="n">
        <v>27</v>
      </c>
      <c r="F119" s="5" t="n">
        <f aca="false">INDEX(Products!$E:$E,MATCH(C119,Products!$A:$A,0))</f>
        <v>267.59</v>
      </c>
      <c r="G119" s="4" t="str">
        <f aca="false">INDEX(Products!$C:$C,MATCH(C119,Products!$A:$A,0))</f>
        <v>Electronics</v>
      </c>
      <c r="H119" s="4" t="str">
        <f aca="false">INDEX(Customers!$C:$C,MATCH(D119,Customers!$A:$A,0))</f>
        <v>R07</v>
      </c>
      <c r="I119" s="7" t="n">
        <f aca="false">INDEX(Regions!$C:$C,MATCH(H119,Regions!$A:$A,0))</f>
        <v>0.15</v>
      </c>
      <c r="J119" s="7" t="n">
        <f aca="false">INDEX(Regions!$D:$D,MATCH(H119,Regions!$A:$A,0))</f>
        <v>0.05</v>
      </c>
      <c r="K119" s="4" t="n">
        <f aca="false">INDEX(Regions!$E:$E,MATCH(H119,Regions!$A:$A,0))</f>
        <v>10</v>
      </c>
      <c r="L119" s="5" t="n">
        <f aca="false">E119*F119</f>
        <v>7224.93</v>
      </c>
      <c r="M119" s="5" t="n">
        <f aca="false">IF(E119&gt;=K119,L119*J119,0)</f>
        <v>361.2465</v>
      </c>
      <c r="N119" s="5" t="n">
        <f aca="false">(L119-M119)*I119</f>
        <v>1029.552525</v>
      </c>
      <c r="O119" s="5" t="n">
        <f aca="false">L119-M119+N119</f>
        <v>7893.236025</v>
      </c>
    </row>
    <row r="120" customFormat="false" ht="15" hidden="false" customHeight="false" outlineLevel="0" collapsed="false">
      <c r="A120" s="4" t="s">
        <v>459</v>
      </c>
      <c r="B120" s="9" t="n">
        <v>45717</v>
      </c>
      <c r="C120" s="4" t="s">
        <v>67</v>
      </c>
      <c r="D120" s="4" t="s">
        <v>282</v>
      </c>
      <c r="E120" s="4" t="n">
        <v>14</v>
      </c>
      <c r="F120" s="5" t="n">
        <f aca="false">INDEX(Products!$E:$E,MATCH(C120,Products!$A:$A,0))</f>
        <v>198.43</v>
      </c>
      <c r="G120" s="4" t="str">
        <f aca="false">INDEX(Products!$C:$C,MATCH(C120,Products!$A:$A,0))</f>
        <v>Apparel</v>
      </c>
      <c r="H120" s="4" t="str">
        <f aca="false">INDEX(Customers!$C:$C,MATCH(D120,Customers!$A:$A,0))</f>
        <v>R01</v>
      </c>
      <c r="I120" s="7" t="n">
        <f aca="false">INDEX(Regions!$C:$C,MATCH(H120,Regions!$A:$A,0))</f>
        <v>0.0825</v>
      </c>
      <c r="J120" s="7" t="n">
        <f aca="false">INDEX(Regions!$D:$D,MATCH(H120,Regions!$A:$A,0))</f>
        <v>0.05</v>
      </c>
      <c r="K120" s="4" t="n">
        <f aca="false">INDEX(Regions!$E:$E,MATCH(H120,Regions!$A:$A,0))</f>
        <v>10</v>
      </c>
      <c r="L120" s="5" t="n">
        <f aca="false">E120*F120</f>
        <v>2778.02</v>
      </c>
      <c r="M120" s="5" t="n">
        <f aca="false">IF(E120&gt;=K120,L120*J120,0)</f>
        <v>138.901</v>
      </c>
      <c r="N120" s="5" t="n">
        <f aca="false">(L120-M120)*I120</f>
        <v>217.7273175</v>
      </c>
      <c r="O120" s="5" t="n">
        <f aca="false">L120-M120+N120</f>
        <v>2856.8463175</v>
      </c>
    </row>
    <row r="121" customFormat="false" ht="15" hidden="false" customHeight="false" outlineLevel="0" collapsed="false">
      <c r="A121" s="4" t="s">
        <v>460</v>
      </c>
      <c r="B121" s="9" t="n">
        <v>45813</v>
      </c>
      <c r="C121" s="4" t="s">
        <v>46</v>
      </c>
      <c r="D121" s="4" t="s">
        <v>144</v>
      </c>
      <c r="E121" s="4" t="n">
        <v>2</v>
      </c>
      <c r="F121" s="5" t="n">
        <f aca="false">INDEX(Products!$E:$E,MATCH(C121,Products!$A:$A,0))</f>
        <v>37.16</v>
      </c>
      <c r="G121" s="4" t="str">
        <f aca="false">INDEX(Products!$C:$C,MATCH(C121,Products!$A:$A,0))</f>
        <v>Outdoor</v>
      </c>
      <c r="H121" s="4" t="str">
        <f aca="false">INDEX(Customers!$C:$C,MATCH(D121,Customers!$A:$A,0))</f>
        <v>R08</v>
      </c>
      <c r="I121" s="7" t="n">
        <f aca="false">INDEX(Regions!$C:$C,MATCH(H121,Regions!$A:$A,0))</f>
        <v>0.12</v>
      </c>
      <c r="J121" s="7" t="n">
        <f aca="false">INDEX(Regions!$D:$D,MATCH(H121,Regions!$A:$A,0))</f>
        <v>0.04</v>
      </c>
      <c r="K121" s="4" t="n">
        <f aca="false">INDEX(Regions!$E:$E,MATCH(H121,Regions!$A:$A,0))</f>
        <v>12</v>
      </c>
      <c r="L121" s="5" t="n">
        <f aca="false">E121*F121</f>
        <v>74.32</v>
      </c>
      <c r="M121" s="5" t="n">
        <f aca="false">IF(E121&gt;=K121,L121*J121,0)</f>
        <v>0</v>
      </c>
      <c r="N121" s="5" t="n">
        <f aca="false">(L121-M121)*I121</f>
        <v>8.9184</v>
      </c>
      <c r="O121" s="5" t="n">
        <f aca="false">L121-M121+N121</f>
        <v>83.2384</v>
      </c>
    </row>
    <row r="122" customFormat="false" ht="15" hidden="false" customHeight="false" outlineLevel="0" collapsed="false">
      <c r="A122" s="4" t="s">
        <v>461</v>
      </c>
      <c r="B122" s="9" t="n">
        <v>45778</v>
      </c>
      <c r="C122" s="4" t="s">
        <v>90</v>
      </c>
      <c r="D122" s="4" t="s">
        <v>163</v>
      </c>
      <c r="E122" s="4" t="n">
        <v>4</v>
      </c>
      <c r="F122" s="5" t="n">
        <f aca="false">INDEX(Products!$E:$E,MATCH(C122,Products!$A:$A,0))</f>
        <v>446.56</v>
      </c>
      <c r="G122" s="4" t="str">
        <f aca="false">INDEX(Products!$C:$C,MATCH(C122,Products!$A:$A,0))</f>
        <v>Outdoor</v>
      </c>
      <c r="H122" s="4" t="str">
        <f aca="false">INDEX(Customers!$C:$C,MATCH(D122,Customers!$A:$A,0))</f>
        <v>R02</v>
      </c>
      <c r="I122" s="7" t="n">
        <f aca="false">INDEX(Regions!$C:$C,MATCH(H122,Regions!$A:$A,0))</f>
        <v>0.07</v>
      </c>
      <c r="J122" s="7" t="n">
        <f aca="false">INDEX(Regions!$D:$D,MATCH(H122,Regions!$A:$A,0))</f>
        <v>0.04</v>
      </c>
      <c r="K122" s="4" t="n">
        <f aca="false">INDEX(Regions!$E:$E,MATCH(H122,Regions!$A:$A,0))</f>
        <v>12</v>
      </c>
      <c r="L122" s="5" t="n">
        <f aca="false">E122*F122</f>
        <v>1786.24</v>
      </c>
      <c r="M122" s="5" t="n">
        <f aca="false">IF(E122&gt;=K122,L122*J122,0)</f>
        <v>0</v>
      </c>
      <c r="N122" s="5" t="n">
        <f aca="false">(L122-M122)*I122</f>
        <v>125.0368</v>
      </c>
      <c r="O122" s="5" t="n">
        <f aca="false">L122-M122+N122</f>
        <v>1911.2768</v>
      </c>
    </row>
    <row r="123" customFormat="false" ht="15" hidden="false" customHeight="false" outlineLevel="0" collapsed="false">
      <c r="A123" s="4" t="s">
        <v>462</v>
      </c>
      <c r="B123" s="9" t="n">
        <v>45890</v>
      </c>
      <c r="C123" s="4" t="s">
        <v>96</v>
      </c>
      <c r="D123" s="4" t="s">
        <v>169</v>
      </c>
      <c r="E123" s="4" t="n">
        <v>13</v>
      </c>
      <c r="F123" s="5" t="n">
        <f aca="false">INDEX(Products!$E:$E,MATCH(C123,Products!$A:$A,0))</f>
        <v>195.64</v>
      </c>
      <c r="G123" s="4" t="str">
        <f aca="false">INDEX(Products!$C:$C,MATCH(C123,Products!$A:$A,0))</f>
        <v>Office Supplies</v>
      </c>
      <c r="H123" s="4" t="str">
        <f aca="false">INDEX(Customers!$C:$C,MATCH(D123,Customers!$A:$A,0))</f>
        <v>R05</v>
      </c>
      <c r="I123" s="7" t="n">
        <f aca="false">INDEX(Regions!$C:$C,MATCH(H123,Regions!$A:$A,0))</f>
        <v>0.0925</v>
      </c>
      <c r="J123" s="7" t="n">
        <f aca="false">INDEX(Regions!$D:$D,MATCH(H123,Regions!$A:$A,0))</f>
        <v>0.06</v>
      </c>
      <c r="K123" s="4" t="n">
        <f aca="false">INDEX(Regions!$E:$E,MATCH(H123,Regions!$A:$A,0))</f>
        <v>8</v>
      </c>
      <c r="L123" s="5" t="n">
        <f aca="false">E123*F123</f>
        <v>2543.32</v>
      </c>
      <c r="M123" s="5" t="n">
        <f aca="false">IF(E123&gt;=K123,L123*J123,0)</f>
        <v>152.5992</v>
      </c>
      <c r="N123" s="5" t="n">
        <f aca="false">(L123-M123)*I123</f>
        <v>221.141674</v>
      </c>
      <c r="O123" s="5" t="n">
        <f aca="false">L123-M123+N123</f>
        <v>2611.862474</v>
      </c>
    </row>
    <row r="124" customFormat="false" ht="15" hidden="false" customHeight="false" outlineLevel="0" collapsed="false">
      <c r="A124" s="4" t="s">
        <v>463</v>
      </c>
      <c r="B124" s="9" t="n">
        <v>46014</v>
      </c>
      <c r="C124" s="4" t="s">
        <v>75</v>
      </c>
      <c r="D124" s="4" t="s">
        <v>284</v>
      </c>
      <c r="E124" s="4" t="n">
        <v>24</v>
      </c>
      <c r="F124" s="5" t="n">
        <f aca="false">INDEX(Products!$E:$E,MATCH(C124,Products!$A:$A,0))</f>
        <v>502.27</v>
      </c>
      <c r="G124" s="4" t="str">
        <f aca="false">INDEX(Products!$C:$C,MATCH(C124,Products!$A:$A,0))</f>
        <v>Office Supplies</v>
      </c>
      <c r="H124" s="4" t="str">
        <f aca="false">INDEX(Customers!$C:$C,MATCH(D124,Customers!$A:$A,0))</f>
        <v>R04</v>
      </c>
      <c r="I124" s="7" t="n">
        <f aca="false">INDEX(Regions!$C:$C,MATCH(H124,Regions!$A:$A,0))</f>
        <v>0.08</v>
      </c>
      <c r="J124" s="7" t="n">
        <f aca="false">INDEX(Regions!$D:$D,MATCH(H124,Regions!$A:$A,0))</f>
        <v>0.05</v>
      </c>
      <c r="K124" s="4" t="n">
        <f aca="false">INDEX(Regions!$E:$E,MATCH(H124,Regions!$A:$A,0))</f>
        <v>10</v>
      </c>
      <c r="L124" s="5" t="n">
        <f aca="false">E124*F124</f>
        <v>12054.48</v>
      </c>
      <c r="M124" s="5" t="n">
        <f aca="false">IF(E124&gt;=K124,L124*J124,0)</f>
        <v>602.724</v>
      </c>
      <c r="N124" s="5" t="n">
        <f aca="false">(L124-M124)*I124</f>
        <v>916.14048</v>
      </c>
      <c r="O124" s="5" t="n">
        <f aca="false">L124-M124+N124</f>
        <v>12367.89648</v>
      </c>
    </row>
    <row r="125" customFormat="false" ht="15" hidden="false" customHeight="false" outlineLevel="0" collapsed="false">
      <c r="A125" s="4" t="s">
        <v>464</v>
      </c>
      <c r="B125" s="9" t="n">
        <v>45737</v>
      </c>
      <c r="C125" s="4" t="s">
        <v>96</v>
      </c>
      <c r="D125" s="4" t="s">
        <v>235</v>
      </c>
      <c r="E125" s="4" t="n">
        <v>19</v>
      </c>
      <c r="F125" s="5" t="n">
        <f aca="false">INDEX(Products!$E:$E,MATCH(C125,Products!$A:$A,0))</f>
        <v>195.64</v>
      </c>
      <c r="G125" s="4" t="str">
        <f aca="false">INDEX(Products!$C:$C,MATCH(C125,Products!$A:$A,0))</f>
        <v>Office Supplies</v>
      </c>
      <c r="H125" s="4" t="str">
        <f aca="false">INDEX(Customers!$C:$C,MATCH(D125,Customers!$A:$A,0))</f>
        <v>R05</v>
      </c>
      <c r="I125" s="7" t="n">
        <f aca="false">INDEX(Regions!$C:$C,MATCH(H125,Regions!$A:$A,0))</f>
        <v>0.0925</v>
      </c>
      <c r="J125" s="7" t="n">
        <f aca="false">INDEX(Regions!$D:$D,MATCH(H125,Regions!$A:$A,0))</f>
        <v>0.06</v>
      </c>
      <c r="K125" s="4" t="n">
        <f aca="false">INDEX(Regions!$E:$E,MATCH(H125,Regions!$A:$A,0))</f>
        <v>8</v>
      </c>
      <c r="L125" s="5" t="n">
        <f aca="false">E125*F125</f>
        <v>3717.16</v>
      </c>
      <c r="M125" s="5" t="n">
        <f aca="false">IF(E125&gt;=K125,L125*J125,0)</f>
        <v>223.0296</v>
      </c>
      <c r="N125" s="5" t="n">
        <f aca="false">(L125-M125)*I125</f>
        <v>323.207062</v>
      </c>
      <c r="O125" s="5" t="n">
        <f aca="false">L125-M125+N125</f>
        <v>3817.337462</v>
      </c>
    </row>
    <row r="126" customFormat="false" ht="15" hidden="false" customHeight="false" outlineLevel="0" collapsed="false">
      <c r="A126" s="4" t="s">
        <v>465</v>
      </c>
      <c r="B126" s="9" t="n">
        <v>45908</v>
      </c>
      <c r="C126" s="4" t="s">
        <v>80</v>
      </c>
      <c r="D126" s="4" t="s">
        <v>282</v>
      </c>
      <c r="E126" s="4" t="n">
        <v>4</v>
      </c>
      <c r="F126" s="5" t="n">
        <f aca="false">INDEX(Products!$E:$E,MATCH(C126,Products!$A:$A,0))</f>
        <v>479.87</v>
      </c>
      <c r="G126" s="4" t="str">
        <f aca="false">INDEX(Products!$C:$C,MATCH(C126,Products!$A:$A,0))</f>
        <v>Office Supplies</v>
      </c>
      <c r="H126" s="4" t="str">
        <f aca="false">INDEX(Customers!$C:$C,MATCH(D126,Customers!$A:$A,0))</f>
        <v>R01</v>
      </c>
      <c r="I126" s="7" t="n">
        <f aca="false">INDEX(Regions!$C:$C,MATCH(H126,Regions!$A:$A,0))</f>
        <v>0.0825</v>
      </c>
      <c r="J126" s="7" t="n">
        <f aca="false">INDEX(Regions!$D:$D,MATCH(H126,Regions!$A:$A,0))</f>
        <v>0.05</v>
      </c>
      <c r="K126" s="4" t="n">
        <f aca="false">INDEX(Regions!$E:$E,MATCH(H126,Regions!$A:$A,0))</f>
        <v>10</v>
      </c>
      <c r="L126" s="5" t="n">
        <f aca="false">E126*F126</f>
        <v>1919.48</v>
      </c>
      <c r="M126" s="5" t="n">
        <f aca="false">IF(E126&gt;=K126,L126*J126,0)</f>
        <v>0</v>
      </c>
      <c r="N126" s="5" t="n">
        <f aca="false">(L126-M126)*I126</f>
        <v>158.3571</v>
      </c>
      <c r="O126" s="5" t="n">
        <f aca="false">L126-M126+N126</f>
        <v>2077.8371</v>
      </c>
    </row>
    <row r="127" customFormat="false" ht="15" hidden="false" customHeight="false" outlineLevel="0" collapsed="false">
      <c r="A127" s="4" t="s">
        <v>466</v>
      </c>
      <c r="B127" s="9" t="n">
        <v>45674</v>
      </c>
      <c r="C127" s="4" t="s">
        <v>105</v>
      </c>
      <c r="D127" s="4" t="s">
        <v>233</v>
      </c>
      <c r="E127" s="4" t="n">
        <v>9</v>
      </c>
      <c r="F127" s="5" t="n">
        <f aca="false">INDEX(Products!$E:$E,MATCH(C127,Products!$A:$A,0))</f>
        <v>216.46</v>
      </c>
      <c r="G127" s="4" t="str">
        <f aca="false">INDEX(Products!$C:$C,MATCH(C127,Products!$A:$A,0))</f>
        <v>Apparel</v>
      </c>
      <c r="H127" s="4" t="str">
        <f aca="false">INDEX(Customers!$C:$C,MATCH(D127,Customers!$A:$A,0))</f>
        <v>R05</v>
      </c>
      <c r="I127" s="7" t="n">
        <f aca="false">INDEX(Regions!$C:$C,MATCH(H127,Regions!$A:$A,0))</f>
        <v>0.0925</v>
      </c>
      <c r="J127" s="7" t="n">
        <f aca="false">INDEX(Regions!$D:$D,MATCH(H127,Regions!$A:$A,0))</f>
        <v>0.06</v>
      </c>
      <c r="K127" s="4" t="n">
        <f aca="false">INDEX(Regions!$E:$E,MATCH(H127,Regions!$A:$A,0))</f>
        <v>8</v>
      </c>
      <c r="L127" s="5" t="n">
        <f aca="false">E127*F127</f>
        <v>1948.14</v>
      </c>
      <c r="M127" s="5" t="n">
        <f aca="false">IF(E127&gt;=K127,L127*J127,0)</f>
        <v>116.8884</v>
      </c>
      <c r="N127" s="5" t="n">
        <f aca="false">(L127-M127)*I127</f>
        <v>169.390773</v>
      </c>
      <c r="O127" s="5" t="n">
        <f aca="false">L127-M127+N127</f>
        <v>2000.642373</v>
      </c>
    </row>
    <row r="128" customFormat="false" ht="15" hidden="false" customHeight="false" outlineLevel="0" collapsed="false">
      <c r="A128" s="4" t="s">
        <v>467</v>
      </c>
      <c r="B128" s="9" t="n">
        <v>45885</v>
      </c>
      <c r="C128" s="4" t="s">
        <v>75</v>
      </c>
      <c r="D128" s="4" t="s">
        <v>187</v>
      </c>
      <c r="E128" s="4" t="n">
        <v>15</v>
      </c>
      <c r="F128" s="5" t="n">
        <f aca="false">INDEX(Products!$E:$E,MATCH(C128,Products!$A:$A,0))</f>
        <v>502.27</v>
      </c>
      <c r="G128" s="4" t="str">
        <f aca="false">INDEX(Products!$C:$C,MATCH(C128,Products!$A:$A,0))</f>
        <v>Office Supplies</v>
      </c>
      <c r="H128" s="4" t="str">
        <f aca="false">INDEX(Customers!$C:$C,MATCH(D128,Customers!$A:$A,0))</f>
        <v>R04</v>
      </c>
      <c r="I128" s="7" t="n">
        <f aca="false">INDEX(Regions!$C:$C,MATCH(H128,Regions!$A:$A,0))</f>
        <v>0.08</v>
      </c>
      <c r="J128" s="7" t="n">
        <f aca="false">INDEX(Regions!$D:$D,MATCH(H128,Regions!$A:$A,0))</f>
        <v>0.05</v>
      </c>
      <c r="K128" s="4" t="n">
        <f aca="false">INDEX(Regions!$E:$E,MATCH(H128,Regions!$A:$A,0))</f>
        <v>10</v>
      </c>
      <c r="L128" s="5" t="n">
        <f aca="false">E128*F128</f>
        <v>7534.05</v>
      </c>
      <c r="M128" s="5" t="n">
        <f aca="false">IF(E128&gt;=K128,L128*J128,0)</f>
        <v>376.7025</v>
      </c>
      <c r="N128" s="5" t="n">
        <f aca="false">(L128-M128)*I128</f>
        <v>572.5878</v>
      </c>
      <c r="O128" s="5" t="n">
        <f aca="false">L128-M128+N128</f>
        <v>7729.9353</v>
      </c>
    </row>
    <row r="129" customFormat="false" ht="15" hidden="false" customHeight="false" outlineLevel="0" collapsed="false">
      <c r="A129" s="4" t="s">
        <v>468</v>
      </c>
      <c r="B129" s="9" t="n">
        <v>45708</v>
      </c>
      <c r="C129" s="4" t="s">
        <v>60</v>
      </c>
      <c r="D129" s="4" t="s">
        <v>318</v>
      </c>
      <c r="E129" s="4" t="n">
        <v>12</v>
      </c>
      <c r="F129" s="5" t="n">
        <f aca="false">INDEX(Products!$E:$E,MATCH(C129,Products!$A:$A,0))</f>
        <v>420.29</v>
      </c>
      <c r="G129" s="4" t="str">
        <f aca="false">INDEX(Products!$C:$C,MATCH(C129,Products!$A:$A,0))</f>
        <v>Office Supplies</v>
      </c>
      <c r="H129" s="4" t="str">
        <f aca="false">INDEX(Customers!$C:$C,MATCH(D129,Customers!$A:$A,0))</f>
        <v>R04</v>
      </c>
      <c r="I129" s="7" t="n">
        <f aca="false">INDEX(Regions!$C:$C,MATCH(H129,Regions!$A:$A,0))</f>
        <v>0.08</v>
      </c>
      <c r="J129" s="7" t="n">
        <f aca="false">INDEX(Regions!$D:$D,MATCH(H129,Regions!$A:$A,0))</f>
        <v>0.05</v>
      </c>
      <c r="K129" s="4" t="n">
        <f aca="false">INDEX(Regions!$E:$E,MATCH(H129,Regions!$A:$A,0))</f>
        <v>10</v>
      </c>
      <c r="L129" s="5" t="n">
        <f aca="false">E129*F129</f>
        <v>5043.48</v>
      </c>
      <c r="M129" s="5" t="n">
        <f aca="false">IF(E129&gt;=K129,L129*J129,0)</f>
        <v>252.174</v>
      </c>
      <c r="N129" s="5" t="n">
        <f aca="false">(L129-M129)*I129</f>
        <v>383.30448</v>
      </c>
      <c r="O129" s="5" t="n">
        <f aca="false">L129-M129+N129</f>
        <v>5174.61048</v>
      </c>
    </row>
    <row r="130" customFormat="false" ht="15" hidden="false" customHeight="false" outlineLevel="0" collapsed="false">
      <c r="A130" s="4" t="s">
        <v>469</v>
      </c>
      <c r="B130" s="9" t="n">
        <v>45988</v>
      </c>
      <c r="C130" s="4" t="s">
        <v>75</v>
      </c>
      <c r="D130" s="4" t="s">
        <v>260</v>
      </c>
      <c r="E130" s="4" t="n">
        <v>29</v>
      </c>
      <c r="F130" s="5" t="n">
        <f aca="false">INDEX(Products!$E:$E,MATCH(C130,Products!$A:$A,0))</f>
        <v>502.27</v>
      </c>
      <c r="G130" s="4" t="str">
        <f aca="false">INDEX(Products!$C:$C,MATCH(C130,Products!$A:$A,0))</f>
        <v>Office Supplies</v>
      </c>
      <c r="H130" s="4" t="str">
        <f aca="false">INDEX(Customers!$C:$C,MATCH(D130,Customers!$A:$A,0))</f>
        <v>R02</v>
      </c>
      <c r="I130" s="7" t="n">
        <f aca="false">INDEX(Regions!$C:$C,MATCH(H130,Regions!$A:$A,0))</f>
        <v>0.07</v>
      </c>
      <c r="J130" s="7" t="n">
        <f aca="false">INDEX(Regions!$D:$D,MATCH(H130,Regions!$A:$A,0))</f>
        <v>0.04</v>
      </c>
      <c r="K130" s="4" t="n">
        <f aca="false">INDEX(Regions!$E:$E,MATCH(H130,Regions!$A:$A,0))</f>
        <v>12</v>
      </c>
      <c r="L130" s="5" t="n">
        <f aca="false">E130*F130</f>
        <v>14565.83</v>
      </c>
      <c r="M130" s="5" t="n">
        <f aca="false">IF(E130&gt;=K130,L130*J130,0)</f>
        <v>582.6332</v>
      </c>
      <c r="N130" s="5" t="n">
        <f aca="false">(L130-M130)*I130</f>
        <v>978.823776</v>
      </c>
      <c r="O130" s="5" t="n">
        <f aca="false">L130-M130+N130</f>
        <v>14962.020576</v>
      </c>
    </row>
    <row r="131" customFormat="false" ht="15" hidden="false" customHeight="false" outlineLevel="0" collapsed="false">
      <c r="A131" s="4" t="s">
        <v>470</v>
      </c>
      <c r="B131" s="9" t="n">
        <v>45799</v>
      </c>
      <c r="C131" s="4" t="s">
        <v>73</v>
      </c>
      <c r="D131" s="4" t="s">
        <v>149</v>
      </c>
      <c r="E131" s="4" t="n">
        <v>13</v>
      </c>
      <c r="F131" s="5" t="n">
        <f aca="false">INDEX(Products!$E:$E,MATCH(C131,Products!$A:$A,0))</f>
        <v>180.28</v>
      </c>
      <c r="G131" s="4" t="str">
        <f aca="false">INDEX(Products!$C:$C,MATCH(C131,Products!$A:$A,0))</f>
        <v>Electronics</v>
      </c>
      <c r="H131" s="4" t="str">
        <f aca="false">INDEX(Customers!$C:$C,MATCH(D131,Customers!$A:$A,0))</f>
        <v>R07</v>
      </c>
      <c r="I131" s="7" t="n">
        <f aca="false">INDEX(Regions!$C:$C,MATCH(H131,Regions!$A:$A,0))</f>
        <v>0.15</v>
      </c>
      <c r="J131" s="7" t="n">
        <f aca="false">INDEX(Regions!$D:$D,MATCH(H131,Regions!$A:$A,0))</f>
        <v>0.05</v>
      </c>
      <c r="K131" s="4" t="n">
        <f aca="false">INDEX(Regions!$E:$E,MATCH(H131,Regions!$A:$A,0))</f>
        <v>10</v>
      </c>
      <c r="L131" s="5" t="n">
        <f aca="false">E131*F131</f>
        <v>2343.64</v>
      </c>
      <c r="M131" s="5" t="n">
        <f aca="false">IF(E131&gt;=K131,L131*J131,0)</f>
        <v>117.182</v>
      </c>
      <c r="N131" s="5" t="n">
        <f aca="false">(L131-M131)*I131</f>
        <v>333.9687</v>
      </c>
      <c r="O131" s="5" t="n">
        <f aca="false">L131-M131+N131</f>
        <v>2560.4267</v>
      </c>
    </row>
    <row r="132" customFormat="false" ht="15" hidden="false" customHeight="false" outlineLevel="0" collapsed="false">
      <c r="A132" s="4" t="s">
        <v>471</v>
      </c>
      <c r="B132" s="9" t="n">
        <v>45890</v>
      </c>
      <c r="C132" s="4" t="s">
        <v>54</v>
      </c>
      <c r="D132" s="4" t="s">
        <v>165</v>
      </c>
      <c r="E132" s="4" t="n">
        <v>28</v>
      </c>
      <c r="F132" s="5" t="n">
        <f aca="false">INDEX(Products!$E:$E,MATCH(C132,Products!$A:$A,0))</f>
        <v>84.7</v>
      </c>
      <c r="G132" s="4" t="str">
        <f aca="false">INDEX(Products!$C:$C,MATCH(C132,Products!$A:$A,0))</f>
        <v>Office Supplies</v>
      </c>
      <c r="H132" s="4" t="str">
        <f aca="false">INDEX(Customers!$C:$C,MATCH(D132,Customers!$A:$A,0))</f>
        <v>R04</v>
      </c>
      <c r="I132" s="7" t="n">
        <f aca="false">INDEX(Regions!$C:$C,MATCH(H132,Regions!$A:$A,0))</f>
        <v>0.08</v>
      </c>
      <c r="J132" s="7" t="n">
        <f aca="false">INDEX(Regions!$D:$D,MATCH(H132,Regions!$A:$A,0))</f>
        <v>0.05</v>
      </c>
      <c r="K132" s="4" t="n">
        <f aca="false">INDEX(Regions!$E:$E,MATCH(H132,Regions!$A:$A,0))</f>
        <v>10</v>
      </c>
      <c r="L132" s="5" t="n">
        <f aca="false">E132*F132</f>
        <v>2371.6</v>
      </c>
      <c r="M132" s="5" t="n">
        <f aca="false">IF(E132&gt;=K132,L132*J132,0)</f>
        <v>118.58</v>
      </c>
      <c r="N132" s="5" t="n">
        <f aca="false">(L132-M132)*I132</f>
        <v>180.2416</v>
      </c>
      <c r="O132" s="5" t="n">
        <f aca="false">L132-M132+N132</f>
        <v>2433.2616</v>
      </c>
    </row>
    <row r="133" customFormat="false" ht="15" hidden="false" customHeight="false" outlineLevel="0" collapsed="false">
      <c r="A133" s="4" t="s">
        <v>472</v>
      </c>
      <c r="B133" s="9" t="n">
        <v>45986</v>
      </c>
      <c r="C133" s="4" t="s">
        <v>40</v>
      </c>
      <c r="D133" s="4" t="s">
        <v>283</v>
      </c>
      <c r="E133" s="4" t="n">
        <v>7</v>
      </c>
      <c r="F133" s="5" t="n">
        <f aca="false">INDEX(Products!$E:$E,MATCH(C133,Products!$A:$A,0))</f>
        <v>93.05</v>
      </c>
      <c r="G133" s="4" t="str">
        <f aca="false">INDEX(Products!$C:$C,MATCH(C133,Products!$A:$A,0))</f>
        <v>Office Supplies</v>
      </c>
      <c r="H133" s="4" t="str">
        <f aca="false">INDEX(Customers!$C:$C,MATCH(D133,Customers!$A:$A,0))</f>
        <v>R03</v>
      </c>
      <c r="I133" s="7" t="n">
        <f aca="false">INDEX(Regions!$C:$C,MATCH(H133,Regions!$A:$A,0))</f>
        <v>0.0625</v>
      </c>
      <c r="J133" s="7" t="n">
        <f aca="false">INDEX(Regions!$D:$D,MATCH(H133,Regions!$A:$A,0))</f>
        <v>0.03</v>
      </c>
      <c r="K133" s="4" t="n">
        <f aca="false">INDEX(Regions!$E:$E,MATCH(H133,Regions!$A:$A,0))</f>
        <v>15</v>
      </c>
      <c r="L133" s="5" t="n">
        <f aca="false">E133*F133</f>
        <v>651.35</v>
      </c>
      <c r="M133" s="5" t="n">
        <f aca="false">IF(E133&gt;=K133,L133*J133,0)</f>
        <v>0</v>
      </c>
      <c r="N133" s="5" t="n">
        <f aca="false">(L133-M133)*I133</f>
        <v>40.709375</v>
      </c>
      <c r="O133" s="5" t="n">
        <f aca="false">L133-M133+N133</f>
        <v>692.059375</v>
      </c>
    </row>
    <row r="134" customFormat="false" ht="15" hidden="false" customHeight="false" outlineLevel="0" collapsed="false">
      <c r="A134" s="4" t="s">
        <v>473</v>
      </c>
      <c r="B134" s="9" t="n">
        <v>45828</v>
      </c>
      <c r="C134" s="4" t="s">
        <v>103</v>
      </c>
      <c r="D134" s="4" t="s">
        <v>138</v>
      </c>
      <c r="E134" s="4" t="n">
        <v>2</v>
      </c>
      <c r="F134" s="5" t="n">
        <f aca="false">INDEX(Products!$E:$E,MATCH(C134,Products!$A:$A,0))</f>
        <v>125.31</v>
      </c>
      <c r="G134" s="4" t="str">
        <f aca="false">INDEX(Products!$C:$C,MATCH(C134,Products!$A:$A,0))</f>
        <v>Home &amp; Kitchen</v>
      </c>
      <c r="H134" s="4" t="str">
        <f aca="false">INDEX(Customers!$C:$C,MATCH(D134,Customers!$A:$A,0))</f>
        <v>R02</v>
      </c>
      <c r="I134" s="7" t="n">
        <f aca="false">INDEX(Regions!$C:$C,MATCH(H134,Regions!$A:$A,0))</f>
        <v>0.07</v>
      </c>
      <c r="J134" s="7" t="n">
        <f aca="false">INDEX(Regions!$D:$D,MATCH(H134,Regions!$A:$A,0))</f>
        <v>0.04</v>
      </c>
      <c r="K134" s="4" t="n">
        <f aca="false">INDEX(Regions!$E:$E,MATCH(H134,Regions!$A:$A,0))</f>
        <v>12</v>
      </c>
      <c r="L134" s="5" t="n">
        <f aca="false">E134*F134</f>
        <v>250.62</v>
      </c>
      <c r="M134" s="5" t="n">
        <f aca="false">IF(E134&gt;=K134,L134*J134,0)</f>
        <v>0</v>
      </c>
      <c r="N134" s="5" t="n">
        <f aca="false">(L134-M134)*I134</f>
        <v>17.5434</v>
      </c>
      <c r="O134" s="5" t="n">
        <f aca="false">L134-M134+N134</f>
        <v>268.1634</v>
      </c>
    </row>
    <row r="135" customFormat="false" ht="15" hidden="false" customHeight="false" outlineLevel="0" collapsed="false">
      <c r="A135" s="4" t="s">
        <v>474</v>
      </c>
      <c r="B135" s="9" t="n">
        <v>45947</v>
      </c>
      <c r="C135" s="4" t="s">
        <v>60</v>
      </c>
      <c r="D135" s="4" t="s">
        <v>167</v>
      </c>
      <c r="E135" s="4" t="n">
        <v>26</v>
      </c>
      <c r="F135" s="5" t="n">
        <f aca="false">INDEX(Products!$E:$E,MATCH(C135,Products!$A:$A,0))</f>
        <v>420.29</v>
      </c>
      <c r="G135" s="4" t="str">
        <f aca="false">INDEX(Products!$C:$C,MATCH(C135,Products!$A:$A,0))</f>
        <v>Office Supplies</v>
      </c>
      <c r="H135" s="4" t="str">
        <f aca="false">INDEX(Customers!$C:$C,MATCH(D135,Customers!$A:$A,0))</f>
        <v>R07</v>
      </c>
      <c r="I135" s="7" t="n">
        <f aca="false">INDEX(Regions!$C:$C,MATCH(H135,Regions!$A:$A,0))</f>
        <v>0.15</v>
      </c>
      <c r="J135" s="7" t="n">
        <f aca="false">INDEX(Regions!$D:$D,MATCH(H135,Regions!$A:$A,0))</f>
        <v>0.05</v>
      </c>
      <c r="K135" s="4" t="n">
        <f aca="false">INDEX(Regions!$E:$E,MATCH(H135,Regions!$A:$A,0))</f>
        <v>10</v>
      </c>
      <c r="L135" s="5" t="n">
        <f aca="false">E135*F135</f>
        <v>10927.54</v>
      </c>
      <c r="M135" s="5" t="n">
        <f aca="false">IF(E135&gt;=K135,L135*J135,0)</f>
        <v>546.377</v>
      </c>
      <c r="N135" s="5" t="n">
        <f aca="false">(L135-M135)*I135</f>
        <v>1557.17445</v>
      </c>
      <c r="O135" s="5" t="n">
        <f aca="false">L135-M135+N135</f>
        <v>11938.33745</v>
      </c>
    </row>
    <row r="136" customFormat="false" ht="15" hidden="false" customHeight="false" outlineLevel="0" collapsed="false">
      <c r="A136" s="4" t="s">
        <v>475</v>
      </c>
      <c r="B136" s="9" t="n">
        <v>45941</v>
      </c>
      <c r="C136" s="4" t="s">
        <v>56</v>
      </c>
      <c r="D136" s="4" t="s">
        <v>151</v>
      </c>
      <c r="E136" s="4" t="n">
        <v>27</v>
      </c>
      <c r="F136" s="5" t="n">
        <f aca="false">INDEX(Products!$E:$E,MATCH(C136,Products!$A:$A,0))</f>
        <v>201.42</v>
      </c>
      <c r="G136" s="4" t="str">
        <f aca="false">INDEX(Products!$C:$C,MATCH(C136,Products!$A:$A,0))</f>
        <v>Home &amp; Kitchen</v>
      </c>
      <c r="H136" s="4" t="str">
        <f aca="false">INDEX(Customers!$C:$C,MATCH(D136,Customers!$A:$A,0))</f>
        <v>R03</v>
      </c>
      <c r="I136" s="7" t="n">
        <f aca="false">INDEX(Regions!$C:$C,MATCH(H136,Regions!$A:$A,0))</f>
        <v>0.0625</v>
      </c>
      <c r="J136" s="7" t="n">
        <f aca="false">INDEX(Regions!$D:$D,MATCH(H136,Regions!$A:$A,0))</f>
        <v>0.03</v>
      </c>
      <c r="K136" s="4" t="n">
        <f aca="false">INDEX(Regions!$E:$E,MATCH(H136,Regions!$A:$A,0))</f>
        <v>15</v>
      </c>
      <c r="L136" s="5" t="n">
        <f aca="false">E136*F136</f>
        <v>5438.34</v>
      </c>
      <c r="M136" s="5" t="n">
        <f aca="false">IF(E136&gt;=K136,L136*J136,0)</f>
        <v>163.1502</v>
      </c>
      <c r="N136" s="5" t="n">
        <f aca="false">(L136-M136)*I136</f>
        <v>329.6993625</v>
      </c>
      <c r="O136" s="5" t="n">
        <f aca="false">L136-M136+N136</f>
        <v>5604.8891625</v>
      </c>
    </row>
    <row r="137" customFormat="false" ht="15" hidden="false" customHeight="false" outlineLevel="0" collapsed="false">
      <c r="A137" s="4" t="s">
        <v>476</v>
      </c>
      <c r="B137" s="9" t="n">
        <v>45777</v>
      </c>
      <c r="C137" s="4" t="s">
        <v>56</v>
      </c>
      <c r="D137" s="4" t="s">
        <v>269</v>
      </c>
      <c r="E137" s="4" t="n">
        <v>7</v>
      </c>
      <c r="F137" s="5" t="n">
        <f aca="false">INDEX(Products!$E:$E,MATCH(C137,Products!$A:$A,0))</f>
        <v>201.42</v>
      </c>
      <c r="G137" s="4" t="str">
        <f aca="false">INDEX(Products!$C:$C,MATCH(C137,Products!$A:$A,0))</f>
        <v>Home &amp; Kitchen</v>
      </c>
      <c r="H137" s="4" t="str">
        <f aca="false">INDEX(Customers!$C:$C,MATCH(D137,Customers!$A:$A,0))</f>
        <v>R01</v>
      </c>
      <c r="I137" s="7" t="n">
        <f aca="false">INDEX(Regions!$C:$C,MATCH(H137,Regions!$A:$A,0))</f>
        <v>0.0825</v>
      </c>
      <c r="J137" s="7" t="n">
        <f aca="false">INDEX(Regions!$D:$D,MATCH(H137,Regions!$A:$A,0))</f>
        <v>0.05</v>
      </c>
      <c r="K137" s="4" t="n">
        <f aca="false">INDEX(Regions!$E:$E,MATCH(H137,Regions!$A:$A,0))</f>
        <v>10</v>
      </c>
      <c r="L137" s="5" t="n">
        <f aca="false">E137*F137</f>
        <v>1409.94</v>
      </c>
      <c r="M137" s="5" t="n">
        <f aca="false">IF(E137&gt;=K137,L137*J137,0)</f>
        <v>0</v>
      </c>
      <c r="N137" s="5" t="n">
        <f aca="false">(L137-M137)*I137</f>
        <v>116.32005</v>
      </c>
      <c r="O137" s="5" t="n">
        <f aca="false">L137-M137+N137</f>
        <v>1526.26005</v>
      </c>
    </row>
    <row r="138" customFormat="false" ht="15" hidden="false" customHeight="false" outlineLevel="0" collapsed="false">
      <c r="A138" s="4" t="s">
        <v>477</v>
      </c>
      <c r="B138" s="9" t="n">
        <v>45963</v>
      </c>
      <c r="C138" s="4" t="s">
        <v>71</v>
      </c>
      <c r="D138" s="4" t="s">
        <v>303</v>
      </c>
      <c r="E138" s="4" t="n">
        <v>5</v>
      </c>
      <c r="F138" s="5" t="n">
        <f aca="false">INDEX(Products!$E:$E,MATCH(C138,Products!$A:$A,0))</f>
        <v>59.51</v>
      </c>
      <c r="G138" s="4" t="str">
        <f aca="false">INDEX(Products!$C:$C,MATCH(C138,Products!$A:$A,0))</f>
        <v>Electronics</v>
      </c>
      <c r="H138" s="4" t="str">
        <f aca="false">INDEX(Customers!$C:$C,MATCH(D138,Customers!$A:$A,0))</f>
        <v>R08</v>
      </c>
      <c r="I138" s="7" t="n">
        <f aca="false">INDEX(Regions!$C:$C,MATCH(H138,Regions!$A:$A,0))</f>
        <v>0.12</v>
      </c>
      <c r="J138" s="7" t="n">
        <f aca="false">INDEX(Regions!$D:$D,MATCH(H138,Regions!$A:$A,0))</f>
        <v>0.04</v>
      </c>
      <c r="K138" s="4" t="n">
        <f aca="false">INDEX(Regions!$E:$E,MATCH(H138,Regions!$A:$A,0))</f>
        <v>12</v>
      </c>
      <c r="L138" s="5" t="n">
        <f aca="false">E138*F138</f>
        <v>297.55</v>
      </c>
      <c r="M138" s="5" t="n">
        <f aca="false">IF(E138&gt;=K138,L138*J138,0)</f>
        <v>0</v>
      </c>
      <c r="N138" s="5" t="n">
        <f aca="false">(L138-M138)*I138</f>
        <v>35.706</v>
      </c>
      <c r="O138" s="5" t="n">
        <f aca="false">L138-M138+N138</f>
        <v>333.256</v>
      </c>
    </row>
    <row r="139" customFormat="false" ht="15" hidden="false" customHeight="false" outlineLevel="0" collapsed="false">
      <c r="A139" s="4" t="s">
        <v>478</v>
      </c>
      <c r="B139" s="9" t="n">
        <v>45732</v>
      </c>
      <c r="C139" s="4" t="s">
        <v>26</v>
      </c>
      <c r="D139" s="4" t="s">
        <v>203</v>
      </c>
      <c r="E139" s="4" t="n">
        <v>28</v>
      </c>
      <c r="F139" s="5" t="n">
        <f aca="false">INDEX(Products!$E:$E,MATCH(C139,Products!$A:$A,0))</f>
        <v>89.87</v>
      </c>
      <c r="G139" s="4" t="str">
        <f aca="false">INDEX(Products!$C:$C,MATCH(C139,Products!$A:$A,0))</f>
        <v>Office Supplies</v>
      </c>
      <c r="H139" s="4" t="str">
        <f aca="false">INDEX(Customers!$C:$C,MATCH(D139,Customers!$A:$A,0))</f>
        <v>R07</v>
      </c>
      <c r="I139" s="7" t="n">
        <f aca="false">INDEX(Regions!$C:$C,MATCH(H139,Regions!$A:$A,0))</f>
        <v>0.15</v>
      </c>
      <c r="J139" s="7" t="n">
        <f aca="false">INDEX(Regions!$D:$D,MATCH(H139,Regions!$A:$A,0))</f>
        <v>0.05</v>
      </c>
      <c r="K139" s="4" t="n">
        <f aca="false">INDEX(Regions!$E:$E,MATCH(H139,Regions!$A:$A,0))</f>
        <v>10</v>
      </c>
      <c r="L139" s="5" t="n">
        <f aca="false">E139*F139</f>
        <v>2516.36</v>
      </c>
      <c r="M139" s="5" t="n">
        <f aca="false">IF(E139&gt;=K139,L139*J139,0)</f>
        <v>125.818</v>
      </c>
      <c r="N139" s="5" t="n">
        <f aca="false">(L139-M139)*I139</f>
        <v>358.5813</v>
      </c>
      <c r="O139" s="5" t="n">
        <f aca="false">L139-M139+N139</f>
        <v>2749.1233</v>
      </c>
    </row>
    <row r="140" customFormat="false" ht="15" hidden="false" customHeight="false" outlineLevel="0" collapsed="false">
      <c r="A140" s="4" t="s">
        <v>479</v>
      </c>
      <c r="B140" s="9" t="n">
        <v>45747</v>
      </c>
      <c r="C140" s="4" t="s">
        <v>46</v>
      </c>
      <c r="D140" s="4" t="s">
        <v>260</v>
      </c>
      <c r="E140" s="4" t="n">
        <v>9</v>
      </c>
      <c r="F140" s="5" t="n">
        <f aca="false">INDEX(Products!$E:$E,MATCH(C140,Products!$A:$A,0))</f>
        <v>37.16</v>
      </c>
      <c r="G140" s="4" t="str">
        <f aca="false">INDEX(Products!$C:$C,MATCH(C140,Products!$A:$A,0))</f>
        <v>Outdoor</v>
      </c>
      <c r="H140" s="4" t="str">
        <f aca="false">INDEX(Customers!$C:$C,MATCH(D140,Customers!$A:$A,0))</f>
        <v>R02</v>
      </c>
      <c r="I140" s="7" t="n">
        <f aca="false">INDEX(Regions!$C:$C,MATCH(H140,Regions!$A:$A,0))</f>
        <v>0.07</v>
      </c>
      <c r="J140" s="7" t="n">
        <f aca="false">INDEX(Regions!$D:$D,MATCH(H140,Regions!$A:$A,0))</f>
        <v>0.04</v>
      </c>
      <c r="K140" s="4" t="n">
        <f aca="false">INDEX(Regions!$E:$E,MATCH(H140,Regions!$A:$A,0))</f>
        <v>12</v>
      </c>
      <c r="L140" s="5" t="n">
        <f aca="false">E140*F140</f>
        <v>334.44</v>
      </c>
      <c r="M140" s="5" t="n">
        <f aca="false">IF(E140&gt;=K140,L140*J140,0)</f>
        <v>0</v>
      </c>
      <c r="N140" s="5" t="n">
        <f aca="false">(L140-M140)*I140</f>
        <v>23.4108</v>
      </c>
      <c r="O140" s="5" t="n">
        <f aca="false">L140-M140+N140</f>
        <v>357.8508</v>
      </c>
    </row>
    <row r="141" customFormat="false" ht="15" hidden="false" customHeight="false" outlineLevel="0" collapsed="false">
      <c r="A141" s="4" t="s">
        <v>480</v>
      </c>
      <c r="B141" s="9" t="n">
        <v>45671</v>
      </c>
      <c r="C141" s="4" t="s">
        <v>44</v>
      </c>
      <c r="D141" s="4" t="s">
        <v>283</v>
      </c>
      <c r="E141" s="4" t="n">
        <v>28</v>
      </c>
      <c r="F141" s="5" t="n">
        <f aca="false">INDEX(Products!$E:$E,MATCH(C141,Products!$A:$A,0))</f>
        <v>393.99</v>
      </c>
      <c r="G141" s="4" t="str">
        <f aca="false">INDEX(Products!$C:$C,MATCH(C141,Products!$A:$A,0))</f>
        <v>Office Supplies</v>
      </c>
      <c r="H141" s="4" t="str">
        <f aca="false">INDEX(Customers!$C:$C,MATCH(D141,Customers!$A:$A,0))</f>
        <v>R03</v>
      </c>
      <c r="I141" s="7" t="n">
        <f aca="false">INDEX(Regions!$C:$C,MATCH(H141,Regions!$A:$A,0))</f>
        <v>0.0625</v>
      </c>
      <c r="J141" s="7" t="n">
        <f aca="false">INDEX(Regions!$D:$D,MATCH(H141,Regions!$A:$A,0))</f>
        <v>0.03</v>
      </c>
      <c r="K141" s="4" t="n">
        <f aca="false">INDEX(Regions!$E:$E,MATCH(H141,Regions!$A:$A,0))</f>
        <v>15</v>
      </c>
      <c r="L141" s="5" t="n">
        <f aca="false">E141*F141</f>
        <v>11031.72</v>
      </c>
      <c r="M141" s="5" t="n">
        <f aca="false">IF(E141&gt;=K141,L141*J141,0)</f>
        <v>330.9516</v>
      </c>
      <c r="N141" s="5" t="n">
        <f aca="false">(L141-M141)*I141</f>
        <v>668.798025</v>
      </c>
      <c r="O141" s="5" t="n">
        <f aca="false">L141-M141+N141</f>
        <v>11369.566425</v>
      </c>
    </row>
    <row r="142" customFormat="false" ht="15" hidden="false" customHeight="false" outlineLevel="0" collapsed="false">
      <c r="A142" s="4" t="s">
        <v>481</v>
      </c>
      <c r="B142" s="9" t="n">
        <v>45779</v>
      </c>
      <c r="C142" s="4" t="s">
        <v>46</v>
      </c>
      <c r="D142" s="4" t="s">
        <v>135</v>
      </c>
      <c r="E142" s="4" t="n">
        <v>12</v>
      </c>
      <c r="F142" s="5" t="n">
        <f aca="false">INDEX(Products!$E:$E,MATCH(C142,Products!$A:$A,0))</f>
        <v>37.16</v>
      </c>
      <c r="G142" s="4" t="str">
        <f aca="false">INDEX(Products!$C:$C,MATCH(C142,Products!$A:$A,0))</f>
        <v>Outdoor</v>
      </c>
      <c r="H142" s="4" t="str">
        <f aca="false">INDEX(Customers!$C:$C,MATCH(D142,Customers!$A:$A,0))</f>
        <v>R07</v>
      </c>
      <c r="I142" s="7" t="n">
        <f aca="false">INDEX(Regions!$C:$C,MATCH(H142,Regions!$A:$A,0))</f>
        <v>0.15</v>
      </c>
      <c r="J142" s="7" t="n">
        <f aca="false">INDEX(Regions!$D:$D,MATCH(H142,Regions!$A:$A,0))</f>
        <v>0.05</v>
      </c>
      <c r="K142" s="4" t="n">
        <f aca="false">INDEX(Regions!$E:$E,MATCH(H142,Regions!$A:$A,0))</f>
        <v>10</v>
      </c>
      <c r="L142" s="5" t="n">
        <f aca="false">E142*F142</f>
        <v>445.92</v>
      </c>
      <c r="M142" s="5" t="n">
        <f aca="false">IF(E142&gt;=K142,L142*J142,0)</f>
        <v>22.296</v>
      </c>
      <c r="N142" s="5" t="n">
        <f aca="false">(L142-M142)*I142</f>
        <v>63.5436</v>
      </c>
      <c r="O142" s="5" t="n">
        <f aca="false">L142-M142+N142</f>
        <v>487.1676</v>
      </c>
    </row>
    <row r="143" customFormat="false" ht="15" hidden="false" customHeight="false" outlineLevel="0" collapsed="false">
      <c r="A143" s="4" t="s">
        <v>482</v>
      </c>
      <c r="B143" s="9" t="n">
        <v>45747</v>
      </c>
      <c r="C143" s="4" t="s">
        <v>101</v>
      </c>
      <c r="D143" s="4" t="s">
        <v>214</v>
      </c>
      <c r="E143" s="4" t="n">
        <v>1</v>
      </c>
      <c r="F143" s="5" t="n">
        <f aca="false">INDEX(Products!$E:$E,MATCH(C143,Products!$A:$A,0))</f>
        <v>468.78</v>
      </c>
      <c r="G143" s="4" t="str">
        <f aca="false">INDEX(Products!$C:$C,MATCH(C143,Products!$A:$A,0))</f>
        <v>Electronics</v>
      </c>
      <c r="H143" s="4" t="str">
        <f aca="false">INDEX(Customers!$C:$C,MATCH(D143,Customers!$A:$A,0))</f>
        <v>R07</v>
      </c>
      <c r="I143" s="7" t="n">
        <f aca="false">INDEX(Regions!$C:$C,MATCH(H143,Regions!$A:$A,0))</f>
        <v>0.15</v>
      </c>
      <c r="J143" s="7" t="n">
        <f aca="false">INDEX(Regions!$D:$D,MATCH(H143,Regions!$A:$A,0))</f>
        <v>0.05</v>
      </c>
      <c r="K143" s="4" t="n">
        <f aca="false">INDEX(Regions!$E:$E,MATCH(H143,Regions!$A:$A,0))</f>
        <v>10</v>
      </c>
      <c r="L143" s="5" t="n">
        <f aca="false">E143*F143</f>
        <v>468.78</v>
      </c>
      <c r="M143" s="5" t="n">
        <f aca="false">IF(E143&gt;=K143,L143*J143,0)</f>
        <v>0</v>
      </c>
      <c r="N143" s="5" t="n">
        <f aca="false">(L143-M143)*I143</f>
        <v>70.317</v>
      </c>
      <c r="O143" s="5" t="n">
        <f aca="false">L143-M143+N143</f>
        <v>539.097</v>
      </c>
    </row>
    <row r="144" customFormat="false" ht="15" hidden="false" customHeight="false" outlineLevel="0" collapsed="false">
      <c r="A144" s="4" t="s">
        <v>483</v>
      </c>
      <c r="B144" s="9" t="n">
        <v>45873</v>
      </c>
      <c r="C144" s="4" t="s">
        <v>62</v>
      </c>
      <c r="D144" s="4" t="s">
        <v>147</v>
      </c>
      <c r="E144" s="4" t="n">
        <v>5</v>
      </c>
      <c r="F144" s="5" t="n">
        <f aca="false">INDEX(Products!$E:$E,MATCH(C144,Products!$A:$A,0))</f>
        <v>329.87</v>
      </c>
      <c r="G144" s="4" t="str">
        <f aca="false">INDEX(Products!$C:$C,MATCH(C144,Products!$A:$A,0))</f>
        <v>Electronics</v>
      </c>
      <c r="H144" s="4" t="str">
        <f aca="false">INDEX(Customers!$C:$C,MATCH(D144,Customers!$A:$A,0))</f>
        <v>R01</v>
      </c>
      <c r="I144" s="7" t="n">
        <f aca="false">INDEX(Regions!$C:$C,MATCH(H144,Regions!$A:$A,0))</f>
        <v>0.0825</v>
      </c>
      <c r="J144" s="7" t="n">
        <f aca="false">INDEX(Regions!$D:$D,MATCH(H144,Regions!$A:$A,0))</f>
        <v>0.05</v>
      </c>
      <c r="K144" s="4" t="n">
        <f aca="false">INDEX(Regions!$E:$E,MATCH(H144,Regions!$A:$A,0))</f>
        <v>10</v>
      </c>
      <c r="L144" s="5" t="n">
        <f aca="false">E144*F144</f>
        <v>1649.35</v>
      </c>
      <c r="M144" s="5" t="n">
        <f aca="false">IF(E144&gt;=K144,L144*J144,0)</f>
        <v>0</v>
      </c>
      <c r="N144" s="5" t="n">
        <f aca="false">(L144-M144)*I144</f>
        <v>136.071375</v>
      </c>
      <c r="O144" s="5" t="n">
        <f aca="false">L144-M144+N144</f>
        <v>1785.421375</v>
      </c>
    </row>
    <row r="145" customFormat="false" ht="15" hidden="false" customHeight="false" outlineLevel="0" collapsed="false">
      <c r="A145" s="4" t="s">
        <v>484</v>
      </c>
      <c r="B145" s="9" t="n">
        <v>45690</v>
      </c>
      <c r="C145" s="4" t="s">
        <v>94</v>
      </c>
      <c r="D145" s="4" t="s">
        <v>163</v>
      </c>
      <c r="E145" s="4" t="n">
        <v>24</v>
      </c>
      <c r="F145" s="5" t="n">
        <f aca="false">INDEX(Products!$E:$E,MATCH(C145,Products!$A:$A,0))</f>
        <v>362.1</v>
      </c>
      <c r="G145" s="4" t="str">
        <f aca="false">INDEX(Products!$C:$C,MATCH(C145,Products!$A:$A,0))</f>
        <v>Apparel</v>
      </c>
      <c r="H145" s="4" t="str">
        <f aca="false">INDEX(Customers!$C:$C,MATCH(D145,Customers!$A:$A,0))</f>
        <v>R02</v>
      </c>
      <c r="I145" s="7" t="n">
        <f aca="false">INDEX(Regions!$C:$C,MATCH(H145,Regions!$A:$A,0))</f>
        <v>0.07</v>
      </c>
      <c r="J145" s="7" t="n">
        <f aca="false">INDEX(Regions!$D:$D,MATCH(H145,Regions!$A:$A,0))</f>
        <v>0.04</v>
      </c>
      <c r="K145" s="4" t="n">
        <f aca="false">INDEX(Regions!$E:$E,MATCH(H145,Regions!$A:$A,0))</f>
        <v>12</v>
      </c>
      <c r="L145" s="5" t="n">
        <f aca="false">E145*F145</f>
        <v>8690.4</v>
      </c>
      <c r="M145" s="5" t="n">
        <f aca="false">IF(E145&gt;=K145,L145*J145,0)</f>
        <v>347.616</v>
      </c>
      <c r="N145" s="5" t="n">
        <f aca="false">(L145-M145)*I145</f>
        <v>583.99488</v>
      </c>
      <c r="O145" s="5" t="n">
        <f aca="false">L145-M145+N145</f>
        <v>8926.77888</v>
      </c>
    </row>
    <row r="146" customFormat="false" ht="15" hidden="false" customHeight="false" outlineLevel="0" collapsed="false">
      <c r="A146" s="4" t="s">
        <v>485</v>
      </c>
      <c r="B146" s="9" t="n">
        <v>45843</v>
      </c>
      <c r="C146" s="4" t="s">
        <v>88</v>
      </c>
      <c r="D146" s="4" t="s">
        <v>241</v>
      </c>
      <c r="E146" s="4" t="n">
        <v>25</v>
      </c>
      <c r="F146" s="5" t="n">
        <f aca="false">INDEX(Products!$E:$E,MATCH(C146,Products!$A:$A,0))</f>
        <v>94.16</v>
      </c>
      <c r="G146" s="4" t="str">
        <f aca="false">INDEX(Products!$C:$C,MATCH(C146,Products!$A:$A,0))</f>
        <v>Office Supplies</v>
      </c>
      <c r="H146" s="4" t="str">
        <f aca="false">INDEX(Customers!$C:$C,MATCH(D146,Customers!$A:$A,0))</f>
        <v>R04</v>
      </c>
      <c r="I146" s="7" t="n">
        <f aca="false">INDEX(Regions!$C:$C,MATCH(H146,Regions!$A:$A,0))</f>
        <v>0.08</v>
      </c>
      <c r="J146" s="7" t="n">
        <f aca="false">INDEX(Regions!$D:$D,MATCH(H146,Regions!$A:$A,0))</f>
        <v>0.05</v>
      </c>
      <c r="K146" s="4" t="n">
        <f aca="false">INDEX(Regions!$E:$E,MATCH(H146,Regions!$A:$A,0))</f>
        <v>10</v>
      </c>
      <c r="L146" s="5" t="n">
        <f aca="false">E146*F146</f>
        <v>2354</v>
      </c>
      <c r="M146" s="5" t="n">
        <f aca="false">IF(E146&gt;=K146,L146*J146,0)</f>
        <v>117.7</v>
      </c>
      <c r="N146" s="5" t="n">
        <f aca="false">(L146-M146)*I146</f>
        <v>178.904</v>
      </c>
      <c r="O146" s="5" t="n">
        <f aca="false">L146-M146+N146</f>
        <v>2415.204</v>
      </c>
    </row>
    <row r="147" customFormat="false" ht="15" hidden="false" customHeight="false" outlineLevel="0" collapsed="false">
      <c r="A147" s="4" t="s">
        <v>486</v>
      </c>
      <c r="B147" s="9" t="n">
        <v>45889</v>
      </c>
      <c r="C147" s="4" t="s">
        <v>92</v>
      </c>
      <c r="D147" s="4" t="s">
        <v>269</v>
      </c>
      <c r="E147" s="4" t="n">
        <v>4</v>
      </c>
      <c r="F147" s="5" t="n">
        <f aca="false">INDEX(Products!$E:$E,MATCH(C147,Products!$A:$A,0))</f>
        <v>333.4</v>
      </c>
      <c r="G147" s="4" t="str">
        <f aca="false">INDEX(Products!$C:$C,MATCH(C147,Products!$A:$A,0))</f>
        <v>Outdoor</v>
      </c>
      <c r="H147" s="4" t="str">
        <f aca="false">INDEX(Customers!$C:$C,MATCH(D147,Customers!$A:$A,0))</f>
        <v>R01</v>
      </c>
      <c r="I147" s="7" t="n">
        <f aca="false">INDEX(Regions!$C:$C,MATCH(H147,Regions!$A:$A,0))</f>
        <v>0.0825</v>
      </c>
      <c r="J147" s="7" t="n">
        <f aca="false">INDEX(Regions!$D:$D,MATCH(H147,Regions!$A:$A,0))</f>
        <v>0.05</v>
      </c>
      <c r="K147" s="4" t="n">
        <f aca="false">INDEX(Regions!$E:$E,MATCH(H147,Regions!$A:$A,0))</f>
        <v>10</v>
      </c>
      <c r="L147" s="5" t="n">
        <f aca="false">E147*F147</f>
        <v>1333.6</v>
      </c>
      <c r="M147" s="5" t="n">
        <f aca="false">IF(E147&gt;=K147,L147*J147,0)</f>
        <v>0</v>
      </c>
      <c r="N147" s="5" t="n">
        <f aca="false">(L147-M147)*I147</f>
        <v>110.022</v>
      </c>
      <c r="O147" s="5" t="n">
        <f aca="false">L147-M147+N147</f>
        <v>1443.622</v>
      </c>
    </row>
    <row r="148" customFormat="false" ht="15" hidden="false" customHeight="false" outlineLevel="0" collapsed="false">
      <c r="A148" s="4" t="s">
        <v>487</v>
      </c>
      <c r="B148" s="9" t="n">
        <v>45680</v>
      </c>
      <c r="C148" s="4" t="s">
        <v>92</v>
      </c>
      <c r="D148" s="4" t="s">
        <v>189</v>
      </c>
      <c r="E148" s="4" t="n">
        <v>20</v>
      </c>
      <c r="F148" s="5" t="n">
        <f aca="false">INDEX(Products!$E:$E,MATCH(C148,Products!$A:$A,0))</f>
        <v>333.4</v>
      </c>
      <c r="G148" s="4" t="str">
        <f aca="false">INDEX(Products!$C:$C,MATCH(C148,Products!$A:$A,0))</f>
        <v>Outdoor</v>
      </c>
      <c r="H148" s="4" t="str">
        <f aca="false">INDEX(Customers!$C:$C,MATCH(D148,Customers!$A:$A,0))</f>
        <v>R08</v>
      </c>
      <c r="I148" s="7" t="n">
        <f aca="false">INDEX(Regions!$C:$C,MATCH(H148,Regions!$A:$A,0))</f>
        <v>0.12</v>
      </c>
      <c r="J148" s="7" t="n">
        <f aca="false">INDEX(Regions!$D:$D,MATCH(H148,Regions!$A:$A,0))</f>
        <v>0.04</v>
      </c>
      <c r="K148" s="4" t="n">
        <f aca="false">INDEX(Regions!$E:$E,MATCH(H148,Regions!$A:$A,0))</f>
        <v>12</v>
      </c>
      <c r="L148" s="5" t="n">
        <f aca="false">E148*F148</f>
        <v>6668</v>
      </c>
      <c r="M148" s="5" t="n">
        <f aca="false">IF(E148&gt;=K148,L148*J148,0)</f>
        <v>266.72</v>
      </c>
      <c r="N148" s="5" t="n">
        <f aca="false">(L148-M148)*I148</f>
        <v>768.1536</v>
      </c>
      <c r="O148" s="5" t="n">
        <f aca="false">L148-M148+N148</f>
        <v>7169.4336</v>
      </c>
    </row>
    <row r="149" customFormat="false" ht="15" hidden="false" customHeight="false" outlineLevel="0" collapsed="false">
      <c r="A149" s="4" t="s">
        <v>488</v>
      </c>
      <c r="B149" s="9" t="n">
        <v>45987</v>
      </c>
      <c r="C149" s="4" t="s">
        <v>94</v>
      </c>
      <c r="D149" s="4" t="s">
        <v>208</v>
      </c>
      <c r="E149" s="4" t="n">
        <v>15</v>
      </c>
      <c r="F149" s="5" t="n">
        <f aca="false">INDEX(Products!$E:$E,MATCH(C149,Products!$A:$A,0))</f>
        <v>362.1</v>
      </c>
      <c r="G149" s="4" t="str">
        <f aca="false">INDEX(Products!$C:$C,MATCH(C149,Products!$A:$A,0))</f>
        <v>Apparel</v>
      </c>
      <c r="H149" s="4" t="str">
        <f aca="false">INDEX(Customers!$C:$C,MATCH(D149,Customers!$A:$A,0))</f>
        <v>R03</v>
      </c>
      <c r="I149" s="7" t="n">
        <f aca="false">INDEX(Regions!$C:$C,MATCH(H149,Regions!$A:$A,0))</f>
        <v>0.0625</v>
      </c>
      <c r="J149" s="7" t="n">
        <f aca="false">INDEX(Regions!$D:$D,MATCH(H149,Regions!$A:$A,0))</f>
        <v>0.03</v>
      </c>
      <c r="K149" s="4" t="n">
        <f aca="false">INDEX(Regions!$E:$E,MATCH(H149,Regions!$A:$A,0))</f>
        <v>15</v>
      </c>
      <c r="L149" s="5" t="n">
        <f aca="false">E149*F149</f>
        <v>5431.5</v>
      </c>
      <c r="M149" s="5" t="n">
        <f aca="false">IF(E149&gt;=K149,L149*J149,0)</f>
        <v>162.945</v>
      </c>
      <c r="N149" s="5" t="n">
        <f aca="false">(L149-M149)*I149</f>
        <v>329.2846875</v>
      </c>
      <c r="O149" s="5" t="n">
        <f aca="false">L149-M149+N149</f>
        <v>5597.8396875</v>
      </c>
    </row>
    <row r="150" customFormat="false" ht="15" hidden="false" customHeight="false" outlineLevel="0" collapsed="false">
      <c r="A150" s="4" t="s">
        <v>489</v>
      </c>
      <c r="B150" s="9" t="n">
        <v>45863</v>
      </c>
      <c r="C150" s="4" t="s">
        <v>29</v>
      </c>
      <c r="D150" s="4" t="s">
        <v>149</v>
      </c>
      <c r="E150" s="4" t="n">
        <v>16</v>
      </c>
      <c r="F150" s="5" t="n">
        <f aca="false">INDEX(Products!$E:$E,MATCH(C150,Products!$A:$A,0))</f>
        <v>43.42</v>
      </c>
      <c r="G150" s="4" t="str">
        <f aca="false">INDEX(Products!$C:$C,MATCH(C150,Products!$A:$A,0))</f>
        <v>Apparel</v>
      </c>
      <c r="H150" s="4" t="str">
        <f aca="false">INDEX(Customers!$C:$C,MATCH(D150,Customers!$A:$A,0))</f>
        <v>R07</v>
      </c>
      <c r="I150" s="7" t="n">
        <f aca="false">INDEX(Regions!$C:$C,MATCH(H150,Regions!$A:$A,0))</f>
        <v>0.15</v>
      </c>
      <c r="J150" s="7" t="n">
        <f aca="false">INDEX(Regions!$D:$D,MATCH(H150,Regions!$A:$A,0))</f>
        <v>0.05</v>
      </c>
      <c r="K150" s="4" t="n">
        <f aca="false">INDEX(Regions!$E:$E,MATCH(H150,Regions!$A:$A,0))</f>
        <v>10</v>
      </c>
      <c r="L150" s="5" t="n">
        <f aca="false">E150*F150</f>
        <v>694.72</v>
      </c>
      <c r="M150" s="5" t="n">
        <f aca="false">IF(E150&gt;=K150,L150*J150,0)</f>
        <v>34.736</v>
      </c>
      <c r="N150" s="5" t="n">
        <f aca="false">(L150-M150)*I150</f>
        <v>98.9976</v>
      </c>
      <c r="O150" s="5" t="n">
        <f aca="false">L150-M150+N150</f>
        <v>758.9816</v>
      </c>
    </row>
    <row r="151" customFormat="false" ht="15" hidden="false" customHeight="false" outlineLevel="0" collapsed="false">
      <c r="A151" s="4" t="s">
        <v>490</v>
      </c>
      <c r="B151" s="9" t="n">
        <v>45909</v>
      </c>
      <c r="C151" s="4" t="s">
        <v>82</v>
      </c>
      <c r="D151" s="4" t="s">
        <v>287</v>
      </c>
      <c r="E151" s="4" t="n">
        <v>4</v>
      </c>
      <c r="F151" s="5" t="n">
        <f aca="false">INDEX(Products!$E:$E,MATCH(C151,Products!$A:$A,0))</f>
        <v>365.87</v>
      </c>
      <c r="G151" s="4" t="str">
        <f aca="false">INDEX(Products!$C:$C,MATCH(C151,Products!$A:$A,0))</f>
        <v>Office Supplies</v>
      </c>
      <c r="H151" s="4" t="str">
        <f aca="false">INDEX(Customers!$C:$C,MATCH(D151,Customers!$A:$A,0))</f>
        <v>R01</v>
      </c>
      <c r="I151" s="7" t="n">
        <f aca="false">INDEX(Regions!$C:$C,MATCH(H151,Regions!$A:$A,0))</f>
        <v>0.0825</v>
      </c>
      <c r="J151" s="7" t="n">
        <f aca="false">INDEX(Regions!$D:$D,MATCH(H151,Regions!$A:$A,0))</f>
        <v>0.05</v>
      </c>
      <c r="K151" s="4" t="n">
        <f aca="false">INDEX(Regions!$E:$E,MATCH(H151,Regions!$A:$A,0))</f>
        <v>10</v>
      </c>
      <c r="L151" s="5" t="n">
        <f aca="false">E151*F151</f>
        <v>1463.48</v>
      </c>
      <c r="M151" s="5" t="n">
        <f aca="false">IF(E151&gt;=K151,L151*J151,0)</f>
        <v>0</v>
      </c>
      <c r="N151" s="5" t="n">
        <f aca="false">(L151-M151)*I151</f>
        <v>120.7371</v>
      </c>
      <c r="O151" s="5" t="n">
        <f aca="false">L151-M151+N151</f>
        <v>1584.2171</v>
      </c>
    </row>
    <row r="152" customFormat="false" ht="15" hidden="false" customHeight="false" outlineLevel="0" collapsed="false">
      <c r="A152" s="4" t="s">
        <v>491</v>
      </c>
      <c r="B152" s="9" t="n">
        <v>45699</v>
      </c>
      <c r="C152" s="4" t="s">
        <v>84</v>
      </c>
      <c r="D152" s="4" t="s">
        <v>153</v>
      </c>
      <c r="E152" s="4" t="n">
        <v>29</v>
      </c>
      <c r="F152" s="5" t="n">
        <f aca="false">INDEX(Products!$E:$E,MATCH(C152,Products!$A:$A,0))</f>
        <v>338.07</v>
      </c>
      <c r="G152" s="4" t="str">
        <f aca="false">INDEX(Products!$C:$C,MATCH(C152,Products!$A:$A,0))</f>
        <v>Office Supplies</v>
      </c>
      <c r="H152" s="4" t="str">
        <f aca="false">INDEX(Customers!$C:$C,MATCH(D152,Customers!$A:$A,0))</f>
        <v>R08</v>
      </c>
      <c r="I152" s="7" t="n">
        <f aca="false">INDEX(Regions!$C:$C,MATCH(H152,Regions!$A:$A,0))</f>
        <v>0.12</v>
      </c>
      <c r="J152" s="7" t="n">
        <f aca="false">INDEX(Regions!$D:$D,MATCH(H152,Regions!$A:$A,0))</f>
        <v>0.04</v>
      </c>
      <c r="K152" s="4" t="n">
        <f aca="false">INDEX(Regions!$E:$E,MATCH(H152,Regions!$A:$A,0))</f>
        <v>12</v>
      </c>
      <c r="L152" s="5" t="n">
        <f aca="false">E152*F152</f>
        <v>9804.03</v>
      </c>
      <c r="M152" s="5" t="n">
        <f aca="false">IF(E152&gt;=K152,L152*J152,0)</f>
        <v>392.1612</v>
      </c>
      <c r="N152" s="5" t="n">
        <f aca="false">(L152-M152)*I152</f>
        <v>1129.424256</v>
      </c>
      <c r="O152" s="5" t="n">
        <f aca="false">L152-M152+N152</f>
        <v>10541.293056</v>
      </c>
    </row>
    <row r="153" customFormat="false" ht="15" hidden="false" customHeight="false" outlineLevel="0" collapsed="false">
      <c r="A153" s="4" t="s">
        <v>492</v>
      </c>
      <c r="B153" s="9" t="n">
        <v>45691</v>
      </c>
      <c r="C153" s="4" t="s">
        <v>69</v>
      </c>
      <c r="D153" s="4" t="s">
        <v>273</v>
      </c>
      <c r="E153" s="4" t="n">
        <v>5</v>
      </c>
      <c r="F153" s="5" t="n">
        <f aca="false">INDEX(Products!$E:$E,MATCH(C153,Products!$A:$A,0))</f>
        <v>173.5</v>
      </c>
      <c r="G153" s="4" t="str">
        <f aca="false">INDEX(Products!$C:$C,MATCH(C153,Products!$A:$A,0))</f>
        <v>Home &amp; Kitchen</v>
      </c>
      <c r="H153" s="4" t="str">
        <f aca="false">INDEX(Customers!$C:$C,MATCH(D153,Customers!$A:$A,0))</f>
        <v>R01</v>
      </c>
      <c r="I153" s="7" t="n">
        <f aca="false">INDEX(Regions!$C:$C,MATCH(H153,Regions!$A:$A,0))</f>
        <v>0.0825</v>
      </c>
      <c r="J153" s="7" t="n">
        <f aca="false">INDEX(Regions!$D:$D,MATCH(H153,Regions!$A:$A,0))</f>
        <v>0.05</v>
      </c>
      <c r="K153" s="4" t="n">
        <f aca="false">INDEX(Regions!$E:$E,MATCH(H153,Regions!$A:$A,0))</f>
        <v>10</v>
      </c>
      <c r="L153" s="5" t="n">
        <f aca="false">E153*F153</f>
        <v>867.5</v>
      </c>
      <c r="M153" s="5" t="n">
        <f aca="false">IF(E153&gt;=K153,L153*J153,0)</f>
        <v>0</v>
      </c>
      <c r="N153" s="5" t="n">
        <f aca="false">(L153-M153)*I153</f>
        <v>71.56875</v>
      </c>
      <c r="O153" s="5" t="n">
        <f aca="false">L153-M153+N153</f>
        <v>939.06875</v>
      </c>
    </row>
    <row r="154" customFormat="false" ht="15" hidden="false" customHeight="false" outlineLevel="0" collapsed="false">
      <c r="A154" s="4" t="s">
        <v>493</v>
      </c>
      <c r="B154" s="9" t="n">
        <v>45982</v>
      </c>
      <c r="C154" s="4" t="s">
        <v>46</v>
      </c>
      <c r="D154" s="4" t="s">
        <v>203</v>
      </c>
      <c r="E154" s="4" t="n">
        <v>20</v>
      </c>
      <c r="F154" s="5" t="n">
        <f aca="false">INDEX(Products!$E:$E,MATCH(C154,Products!$A:$A,0))</f>
        <v>37.16</v>
      </c>
      <c r="G154" s="4" t="str">
        <f aca="false">INDEX(Products!$C:$C,MATCH(C154,Products!$A:$A,0))</f>
        <v>Outdoor</v>
      </c>
      <c r="H154" s="4" t="str">
        <f aca="false">INDEX(Customers!$C:$C,MATCH(D154,Customers!$A:$A,0))</f>
        <v>R07</v>
      </c>
      <c r="I154" s="7" t="n">
        <f aca="false">INDEX(Regions!$C:$C,MATCH(H154,Regions!$A:$A,0))</f>
        <v>0.15</v>
      </c>
      <c r="J154" s="7" t="n">
        <f aca="false">INDEX(Regions!$D:$D,MATCH(H154,Regions!$A:$A,0))</f>
        <v>0.05</v>
      </c>
      <c r="K154" s="4" t="n">
        <f aca="false">INDEX(Regions!$E:$E,MATCH(H154,Regions!$A:$A,0))</f>
        <v>10</v>
      </c>
      <c r="L154" s="5" t="n">
        <f aca="false">E154*F154</f>
        <v>743.2</v>
      </c>
      <c r="M154" s="5" t="n">
        <f aca="false">IF(E154&gt;=K154,L154*J154,0)</f>
        <v>37.16</v>
      </c>
      <c r="N154" s="5" t="n">
        <f aca="false">(L154-M154)*I154</f>
        <v>105.906</v>
      </c>
      <c r="O154" s="5" t="n">
        <f aca="false">L154-M154+N154</f>
        <v>811.946</v>
      </c>
    </row>
    <row r="155" customFormat="false" ht="15" hidden="false" customHeight="false" outlineLevel="0" collapsed="false">
      <c r="A155" s="4" t="s">
        <v>494</v>
      </c>
      <c r="B155" s="9" t="n">
        <v>45824</v>
      </c>
      <c r="C155" s="4" t="s">
        <v>101</v>
      </c>
      <c r="D155" s="4" t="s">
        <v>262</v>
      </c>
      <c r="E155" s="4" t="n">
        <v>23</v>
      </c>
      <c r="F155" s="5" t="n">
        <f aca="false">INDEX(Products!$E:$E,MATCH(C155,Products!$A:$A,0))</f>
        <v>468.78</v>
      </c>
      <c r="G155" s="4" t="str">
        <f aca="false">INDEX(Products!$C:$C,MATCH(C155,Products!$A:$A,0))</f>
        <v>Electronics</v>
      </c>
      <c r="H155" s="4" t="str">
        <f aca="false">INDEX(Customers!$C:$C,MATCH(D155,Customers!$A:$A,0))</f>
        <v>R04</v>
      </c>
      <c r="I155" s="7" t="n">
        <f aca="false">INDEX(Regions!$C:$C,MATCH(H155,Regions!$A:$A,0))</f>
        <v>0.08</v>
      </c>
      <c r="J155" s="7" t="n">
        <f aca="false">INDEX(Regions!$D:$D,MATCH(H155,Regions!$A:$A,0))</f>
        <v>0.05</v>
      </c>
      <c r="K155" s="4" t="n">
        <f aca="false">INDEX(Regions!$E:$E,MATCH(H155,Regions!$A:$A,0))</f>
        <v>10</v>
      </c>
      <c r="L155" s="5" t="n">
        <f aca="false">E155*F155</f>
        <v>10781.94</v>
      </c>
      <c r="M155" s="5" t="n">
        <f aca="false">IF(E155&gt;=K155,L155*J155,0)</f>
        <v>539.097</v>
      </c>
      <c r="N155" s="5" t="n">
        <f aca="false">(L155-M155)*I155</f>
        <v>819.42744</v>
      </c>
      <c r="O155" s="5" t="n">
        <f aca="false">L155-M155+N155</f>
        <v>11062.27044</v>
      </c>
    </row>
    <row r="156" customFormat="false" ht="15" hidden="false" customHeight="false" outlineLevel="0" collapsed="false">
      <c r="A156" s="4" t="s">
        <v>495</v>
      </c>
      <c r="B156" s="9" t="n">
        <v>45808</v>
      </c>
      <c r="C156" s="4" t="s">
        <v>77</v>
      </c>
      <c r="D156" s="4" t="s">
        <v>271</v>
      </c>
      <c r="E156" s="4" t="n">
        <v>17</v>
      </c>
      <c r="F156" s="5" t="n">
        <f aca="false">INDEX(Products!$E:$E,MATCH(C156,Products!$A:$A,0))</f>
        <v>302.78</v>
      </c>
      <c r="G156" s="4" t="str">
        <f aca="false">INDEX(Products!$C:$C,MATCH(C156,Products!$A:$A,0))</f>
        <v>Electronics</v>
      </c>
      <c r="H156" s="4" t="str">
        <f aca="false">INDEX(Customers!$C:$C,MATCH(D156,Customers!$A:$A,0))</f>
        <v>R03</v>
      </c>
      <c r="I156" s="7" t="n">
        <f aca="false">INDEX(Regions!$C:$C,MATCH(H156,Regions!$A:$A,0))</f>
        <v>0.0625</v>
      </c>
      <c r="J156" s="7" t="n">
        <f aca="false">INDEX(Regions!$D:$D,MATCH(H156,Regions!$A:$A,0))</f>
        <v>0.03</v>
      </c>
      <c r="K156" s="4" t="n">
        <f aca="false">INDEX(Regions!$E:$E,MATCH(H156,Regions!$A:$A,0))</f>
        <v>15</v>
      </c>
      <c r="L156" s="5" t="n">
        <f aca="false">E156*F156</f>
        <v>5147.26</v>
      </c>
      <c r="M156" s="5" t="n">
        <f aca="false">IF(E156&gt;=K156,L156*J156,0)</f>
        <v>154.4178</v>
      </c>
      <c r="N156" s="5" t="n">
        <f aca="false">(L156-M156)*I156</f>
        <v>312.0526375</v>
      </c>
      <c r="O156" s="5" t="n">
        <f aca="false">L156-M156+N156</f>
        <v>5304.8948375</v>
      </c>
    </row>
    <row r="157" customFormat="false" ht="15" hidden="false" customHeight="false" outlineLevel="0" collapsed="false">
      <c r="A157" s="4" t="s">
        <v>496</v>
      </c>
      <c r="B157" s="9" t="n">
        <v>45878</v>
      </c>
      <c r="C157" s="4" t="s">
        <v>86</v>
      </c>
      <c r="D157" s="4" t="s">
        <v>252</v>
      </c>
      <c r="E157" s="4" t="n">
        <v>20</v>
      </c>
      <c r="F157" s="5" t="n">
        <f aca="false">INDEX(Products!$E:$E,MATCH(C157,Products!$A:$A,0))</f>
        <v>169.14</v>
      </c>
      <c r="G157" s="4" t="str">
        <f aca="false">INDEX(Products!$C:$C,MATCH(C157,Products!$A:$A,0))</f>
        <v>Office Supplies</v>
      </c>
      <c r="H157" s="4" t="str">
        <f aca="false">INDEX(Customers!$C:$C,MATCH(D157,Customers!$A:$A,0))</f>
        <v>R06</v>
      </c>
      <c r="I157" s="7" t="n">
        <f aca="false">INDEX(Regions!$C:$C,MATCH(H157,Regions!$A:$A,0))</f>
        <v>0.06</v>
      </c>
      <c r="J157" s="7" t="n">
        <f aca="false">INDEX(Regions!$D:$D,MATCH(H157,Regions!$A:$A,0))</f>
        <v>0.04</v>
      </c>
      <c r="K157" s="4" t="n">
        <f aca="false">INDEX(Regions!$E:$E,MATCH(H157,Regions!$A:$A,0))</f>
        <v>12</v>
      </c>
      <c r="L157" s="5" t="n">
        <f aca="false">E157*F157</f>
        <v>3382.8</v>
      </c>
      <c r="M157" s="5" t="n">
        <f aca="false">IF(E157&gt;=K157,L157*J157,0)</f>
        <v>135.312</v>
      </c>
      <c r="N157" s="5" t="n">
        <f aca="false">(L157-M157)*I157</f>
        <v>194.84928</v>
      </c>
      <c r="O157" s="5" t="n">
        <f aca="false">L157-M157+N157</f>
        <v>3442.33728</v>
      </c>
    </row>
    <row r="158" customFormat="false" ht="15" hidden="false" customHeight="false" outlineLevel="0" collapsed="false">
      <c r="A158" s="4" t="s">
        <v>497</v>
      </c>
      <c r="B158" s="9" t="n">
        <v>45716</v>
      </c>
      <c r="C158" s="4" t="s">
        <v>42</v>
      </c>
      <c r="D158" s="4" t="s">
        <v>306</v>
      </c>
      <c r="E158" s="4" t="n">
        <v>23</v>
      </c>
      <c r="F158" s="5" t="n">
        <f aca="false">INDEX(Products!$E:$E,MATCH(C158,Products!$A:$A,0))</f>
        <v>156.05</v>
      </c>
      <c r="G158" s="4" t="str">
        <f aca="false">INDEX(Products!$C:$C,MATCH(C158,Products!$A:$A,0))</f>
        <v>Electronics</v>
      </c>
      <c r="H158" s="4" t="str">
        <f aca="false">INDEX(Customers!$C:$C,MATCH(D158,Customers!$A:$A,0))</f>
        <v>R01</v>
      </c>
      <c r="I158" s="7" t="n">
        <f aca="false">INDEX(Regions!$C:$C,MATCH(H158,Regions!$A:$A,0))</f>
        <v>0.0825</v>
      </c>
      <c r="J158" s="7" t="n">
        <f aca="false">INDEX(Regions!$D:$D,MATCH(H158,Regions!$A:$A,0))</f>
        <v>0.05</v>
      </c>
      <c r="K158" s="4" t="n">
        <f aca="false">INDEX(Regions!$E:$E,MATCH(H158,Regions!$A:$A,0))</f>
        <v>10</v>
      </c>
      <c r="L158" s="5" t="n">
        <f aca="false">E158*F158</f>
        <v>3589.15</v>
      </c>
      <c r="M158" s="5" t="n">
        <f aca="false">IF(E158&gt;=K158,L158*J158,0)</f>
        <v>179.4575</v>
      </c>
      <c r="N158" s="5" t="n">
        <f aca="false">(L158-M158)*I158</f>
        <v>281.29963125</v>
      </c>
      <c r="O158" s="5" t="n">
        <f aca="false">L158-M158+N158</f>
        <v>3690.99213125</v>
      </c>
    </row>
    <row r="159" customFormat="false" ht="15" hidden="false" customHeight="false" outlineLevel="0" collapsed="false">
      <c r="A159" s="4" t="s">
        <v>498</v>
      </c>
      <c r="B159" s="9" t="n">
        <v>45768</v>
      </c>
      <c r="C159" s="4" t="s">
        <v>98</v>
      </c>
      <c r="D159" s="4" t="s">
        <v>294</v>
      </c>
      <c r="E159" s="4" t="n">
        <v>28</v>
      </c>
      <c r="F159" s="5" t="n">
        <f aca="false">INDEX(Products!$E:$E,MATCH(C159,Products!$A:$A,0))</f>
        <v>26.28</v>
      </c>
      <c r="G159" s="4" t="str">
        <f aca="false">INDEX(Products!$C:$C,MATCH(C159,Products!$A:$A,0))</f>
        <v>Home &amp; Kitchen</v>
      </c>
      <c r="H159" s="4" t="str">
        <f aca="false">INDEX(Customers!$C:$C,MATCH(D159,Customers!$A:$A,0))</f>
        <v>R01</v>
      </c>
      <c r="I159" s="7" t="n">
        <f aca="false">INDEX(Regions!$C:$C,MATCH(H159,Regions!$A:$A,0))</f>
        <v>0.0825</v>
      </c>
      <c r="J159" s="7" t="n">
        <f aca="false">INDEX(Regions!$D:$D,MATCH(H159,Regions!$A:$A,0))</f>
        <v>0.05</v>
      </c>
      <c r="K159" s="4" t="n">
        <f aca="false">INDEX(Regions!$E:$E,MATCH(H159,Regions!$A:$A,0))</f>
        <v>10</v>
      </c>
      <c r="L159" s="5" t="n">
        <f aca="false">E159*F159</f>
        <v>735.84</v>
      </c>
      <c r="M159" s="5" t="n">
        <f aca="false">IF(E159&gt;=K159,L159*J159,0)</f>
        <v>36.792</v>
      </c>
      <c r="N159" s="5" t="n">
        <f aca="false">(L159-M159)*I159</f>
        <v>57.67146</v>
      </c>
      <c r="O159" s="5" t="n">
        <f aca="false">L159-M159+N159</f>
        <v>756.71946</v>
      </c>
    </row>
    <row r="160" customFormat="false" ht="15" hidden="false" customHeight="false" outlineLevel="0" collapsed="false">
      <c r="A160" s="4" t="s">
        <v>499</v>
      </c>
      <c r="B160" s="9" t="n">
        <v>45774</v>
      </c>
      <c r="C160" s="4" t="s">
        <v>82</v>
      </c>
      <c r="D160" s="4" t="s">
        <v>241</v>
      </c>
      <c r="E160" s="4" t="n">
        <v>29</v>
      </c>
      <c r="F160" s="5" t="n">
        <f aca="false">INDEX(Products!$E:$E,MATCH(C160,Products!$A:$A,0))</f>
        <v>365.87</v>
      </c>
      <c r="G160" s="4" t="str">
        <f aca="false">INDEX(Products!$C:$C,MATCH(C160,Products!$A:$A,0))</f>
        <v>Office Supplies</v>
      </c>
      <c r="H160" s="4" t="str">
        <f aca="false">INDEX(Customers!$C:$C,MATCH(D160,Customers!$A:$A,0))</f>
        <v>R04</v>
      </c>
      <c r="I160" s="7" t="n">
        <f aca="false">INDEX(Regions!$C:$C,MATCH(H160,Regions!$A:$A,0))</f>
        <v>0.08</v>
      </c>
      <c r="J160" s="7" t="n">
        <f aca="false">INDEX(Regions!$D:$D,MATCH(H160,Regions!$A:$A,0))</f>
        <v>0.05</v>
      </c>
      <c r="K160" s="4" t="n">
        <f aca="false">INDEX(Regions!$E:$E,MATCH(H160,Regions!$A:$A,0))</f>
        <v>10</v>
      </c>
      <c r="L160" s="5" t="n">
        <f aca="false">E160*F160</f>
        <v>10610.23</v>
      </c>
      <c r="M160" s="5" t="n">
        <f aca="false">IF(E160&gt;=K160,L160*J160,0)</f>
        <v>530.5115</v>
      </c>
      <c r="N160" s="5" t="n">
        <f aca="false">(L160-M160)*I160</f>
        <v>806.37748</v>
      </c>
      <c r="O160" s="5" t="n">
        <f aca="false">L160-M160+N160</f>
        <v>10886.09598</v>
      </c>
    </row>
    <row r="161" customFormat="false" ht="15" hidden="false" customHeight="false" outlineLevel="0" collapsed="false">
      <c r="A161" s="4" t="s">
        <v>500</v>
      </c>
      <c r="B161" s="9" t="n">
        <v>45890</v>
      </c>
      <c r="C161" s="4" t="s">
        <v>80</v>
      </c>
      <c r="D161" s="4" t="s">
        <v>218</v>
      </c>
      <c r="E161" s="4" t="n">
        <v>27</v>
      </c>
      <c r="F161" s="5" t="n">
        <f aca="false">INDEX(Products!$E:$E,MATCH(C161,Products!$A:$A,0))</f>
        <v>479.87</v>
      </c>
      <c r="G161" s="4" t="str">
        <f aca="false">INDEX(Products!$C:$C,MATCH(C161,Products!$A:$A,0))</f>
        <v>Office Supplies</v>
      </c>
      <c r="H161" s="4" t="str">
        <f aca="false">INDEX(Customers!$C:$C,MATCH(D161,Customers!$A:$A,0))</f>
        <v>R06</v>
      </c>
      <c r="I161" s="7" t="n">
        <f aca="false">INDEX(Regions!$C:$C,MATCH(H161,Regions!$A:$A,0))</f>
        <v>0.06</v>
      </c>
      <c r="J161" s="7" t="n">
        <f aca="false">INDEX(Regions!$D:$D,MATCH(H161,Regions!$A:$A,0))</f>
        <v>0.04</v>
      </c>
      <c r="K161" s="4" t="n">
        <f aca="false">INDEX(Regions!$E:$E,MATCH(H161,Regions!$A:$A,0))</f>
        <v>12</v>
      </c>
      <c r="L161" s="5" t="n">
        <f aca="false">E161*F161</f>
        <v>12956.49</v>
      </c>
      <c r="M161" s="5" t="n">
        <f aca="false">IF(E161&gt;=K161,L161*J161,0)</f>
        <v>518.2596</v>
      </c>
      <c r="N161" s="5" t="n">
        <f aca="false">(L161-M161)*I161</f>
        <v>746.293824</v>
      </c>
      <c r="O161" s="5" t="n">
        <f aca="false">L161-M161+N161</f>
        <v>13184.524224</v>
      </c>
    </row>
    <row r="162" customFormat="false" ht="15" hidden="false" customHeight="false" outlineLevel="0" collapsed="false">
      <c r="A162" s="4" t="s">
        <v>501</v>
      </c>
      <c r="B162" s="9" t="n">
        <v>45706</v>
      </c>
      <c r="C162" s="4" t="s">
        <v>79</v>
      </c>
      <c r="D162" s="4" t="s">
        <v>235</v>
      </c>
      <c r="E162" s="4" t="n">
        <v>24</v>
      </c>
      <c r="F162" s="5" t="n">
        <f aca="false">INDEX(Products!$E:$E,MATCH(C162,Products!$A:$A,0))</f>
        <v>53.77</v>
      </c>
      <c r="G162" s="4" t="str">
        <f aca="false">INDEX(Products!$C:$C,MATCH(C162,Products!$A:$A,0))</f>
        <v>Office Supplies</v>
      </c>
      <c r="H162" s="4" t="str">
        <f aca="false">INDEX(Customers!$C:$C,MATCH(D162,Customers!$A:$A,0))</f>
        <v>R05</v>
      </c>
      <c r="I162" s="7" t="n">
        <f aca="false">INDEX(Regions!$C:$C,MATCH(H162,Regions!$A:$A,0))</f>
        <v>0.0925</v>
      </c>
      <c r="J162" s="7" t="n">
        <f aca="false">INDEX(Regions!$D:$D,MATCH(H162,Regions!$A:$A,0))</f>
        <v>0.06</v>
      </c>
      <c r="K162" s="4" t="n">
        <f aca="false">INDEX(Regions!$E:$E,MATCH(H162,Regions!$A:$A,0))</f>
        <v>8</v>
      </c>
      <c r="L162" s="5" t="n">
        <f aca="false">E162*F162</f>
        <v>1290.48</v>
      </c>
      <c r="M162" s="5" t="n">
        <f aca="false">IF(E162&gt;=K162,L162*J162,0)</f>
        <v>77.4288</v>
      </c>
      <c r="N162" s="5" t="n">
        <f aca="false">(L162-M162)*I162</f>
        <v>112.207236</v>
      </c>
      <c r="O162" s="5" t="n">
        <f aca="false">L162-M162+N162</f>
        <v>1325.258436</v>
      </c>
    </row>
    <row r="163" customFormat="false" ht="15" hidden="false" customHeight="false" outlineLevel="0" collapsed="false">
      <c r="A163" s="4" t="s">
        <v>502</v>
      </c>
      <c r="B163" s="9" t="n">
        <v>45998</v>
      </c>
      <c r="C163" s="4" t="s">
        <v>69</v>
      </c>
      <c r="D163" s="4" t="s">
        <v>237</v>
      </c>
      <c r="E163" s="4" t="n">
        <v>11</v>
      </c>
      <c r="F163" s="5" t="n">
        <f aca="false">INDEX(Products!$E:$E,MATCH(C163,Products!$A:$A,0))</f>
        <v>173.5</v>
      </c>
      <c r="G163" s="4" t="str">
        <f aca="false">INDEX(Products!$C:$C,MATCH(C163,Products!$A:$A,0))</f>
        <v>Home &amp; Kitchen</v>
      </c>
      <c r="H163" s="4" t="str">
        <f aca="false">INDEX(Customers!$C:$C,MATCH(D163,Customers!$A:$A,0))</f>
        <v>R06</v>
      </c>
      <c r="I163" s="7" t="n">
        <f aca="false">INDEX(Regions!$C:$C,MATCH(H163,Regions!$A:$A,0))</f>
        <v>0.06</v>
      </c>
      <c r="J163" s="7" t="n">
        <f aca="false">INDEX(Regions!$D:$D,MATCH(H163,Regions!$A:$A,0))</f>
        <v>0.04</v>
      </c>
      <c r="K163" s="4" t="n">
        <f aca="false">INDEX(Regions!$E:$E,MATCH(H163,Regions!$A:$A,0))</f>
        <v>12</v>
      </c>
      <c r="L163" s="5" t="n">
        <f aca="false">E163*F163</f>
        <v>1908.5</v>
      </c>
      <c r="M163" s="5" t="n">
        <f aca="false">IF(E163&gt;=K163,L163*J163,0)</f>
        <v>0</v>
      </c>
      <c r="N163" s="5" t="n">
        <f aca="false">(L163-M163)*I163</f>
        <v>114.51</v>
      </c>
      <c r="O163" s="5" t="n">
        <f aca="false">L163-M163+N163</f>
        <v>2023.01</v>
      </c>
    </row>
    <row r="164" customFormat="false" ht="15" hidden="false" customHeight="false" outlineLevel="0" collapsed="false">
      <c r="A164" s="4" t="s">
        <v>503</v>
      </c>
      <c r="B164" s="9" t="n">
        <v>46009</v>
      </c>
      <c r="C164" s="4" t="s">
        <v>62</v>
      </c>
      <c r="D164" s="4" t="s">
        <v>224</v>
      </c>
      <c r="E164" s="4" t="n">
        <v>5</v>
      </c>
      <c r="F164" s="5" t="n">
        <f aca="false">INDEX(Products!$E:$E,MATCH(C164,Products!$A:$A,0))</f>
        <v>329.87</v>
      </c>
      <c r="G164" s="4" t="str">
        <f aca="false">INDEX(Products!$C:$C,MATCH(C164,Products!$A:$A,0))</f>
        <v>Electronics</v>
      </c>
      <c r="H164" s="4" t="str">
        <f aca="false">INDEX(Customers!$C:$C,MATCH(D164,Customers!$A:$A,0))</f>
        <v>R01</v>
      </c>
      <c r="I164" s="7" t="n">
        <f aca="false">INDEX(Regions!$C:$C,MATCH(H164,Regions!$A:$A,0))</f>
        <v>0.0825</v>
      </c>
      <c r="J164" s="7" t="n">
        <f aca="false">INDEX(Regions!$D:$D,MATCH(H164,Regions!$A:$A,0))</f>
        <v>0.05</v>
      </c>
      <c r="K164" s="4" t="n">
        <f aca="false">INDEX(Regions!$E:$E,MATCH(H164,Regions!$A:$A,0))</f>
        <v>10</v>
      </c>
      <c r="L164" s="5" t="n">
        <f aca="false">E164*F164</f>
        <v>1649.35</v>
      </c>
      <c r="M164" s="5" t="n">
        <f aca="false">IF(E164&gt;=K164,L164*J164,0)</f>
        <v>0</v>
      </c>
      <c r="N164" s="5" t="n">
        <f aca="false">(L164-M164)*I164</f>
        <v>136.071375</v>
      </c>
      <c r="O164" s="5" t="n">
        <f aca="false">L164-M164+N164</f>
        <v>1785.421375</v>
      </c>
    </row>
    <row r="165" customFormat="false" ht="15" hidden="false" customHeight="false" outlineLevel="0" collapsed="false">
      <c r="A165" s="4" t="s">
        <v>504</v>
      </c>
      <c r="B165" s="9" t="n">
        <v>45701</v>
      </c>
      <c r="C165" s="4" t="s">
        <v>88</v>
      </c>
      <c r="D165" s="4" t="s">
        <v>151</v>
      </c>
      <c r="E165" s="4" t="n">
        <v>3</v>
      </c>
      <c r="F165" s="5" t="n">
        <f aca="false">INDEX(Products!$E:$E,MATCH(C165,Products!$A:$A,0))</f>
        <v>94.16</v>
      </c>
      <c r="G165" s="4" t="str">
        <f aca="false">INDEX(Products!$C:$C,MATCH(C165,Products!$A:$A,0))</f>
        <v>Office Supplies</v>
      </c>
      <c r="H165" s="4" t="str">
        <f aca="false">INDEX(Customers!$C:$C,MATCH(D165,Customers!$A:$A,0))</f>
        <v>R03</v>
      </c>
      <c r="I165" s="7" t="n">
        <f aca="false">INDEX(Regions!$C:$C,MATCH(H165,Regions!$A:$A,0))</f>
        <v>0.0625</v>
      </c>
      <c r="J165" s="7" t="n">
        <f aca="false">INDEX(Regions!$D:$D,MATCH(H165,Regions!$A:$A,0))</f>
        <v>0.03</v>
      </c>
      <c r="K165" s="4" t="n">
        <f aca="false">INDEX(Regions!$E:$E,MATCH(H165,Regions!$A:$A,0))</f>
        <v>15</v>
      </c>
      <c r="L165" s="5" t="n">
        <f aca="false">E165*F165</f>
        <v>282.48</v>
      </c>
      <c r="M165" s="5" t="n">
        <f aca="false">IF(E165&gt;=K165,L165*J165,0)</f>
        <v>0</v>
      </c>
      <c r="N165" s="5" t="n">
        <f aca="false">(L165-M165)*I165</f>
        <v>17.655</v>
      </c>
      <c r="O165" s="5" t="n">
        <f aca="false">L165-M165+N165</f>
        <v>300.135</v>
      </c>
    </row>
    <row r="166" customFormat="false" ht="15" hidden="false" customHeight="false" outlineLevel="0" collapsed="false">
      <c r="A166" s="4" t="s">
        <v>505</v>
      </c>
      <c r="B166" s="9" t="n">
        <v>45848</v>
      </c>
      <c r="C166" s="4" t="s">
        <v>40</v>
      </c>
      <c r="D166" s="4" t="s">
        <v>239</v>
      </c>
      <c r="E166" s="4" t="n">
        <v>4</v>
      </c>
      <c r="F166" s="5" t="n">
        <f aca="false">INDEX(Products!$E:$E,MATCH(C166,Products!$A:$A,0))</f>
        <v>93.05</v>
      </c>
      <c r="G166" s="4" t="str">
        <f aca="false">INDEX(Products!$C:$C,MATCH(C166,Products!$A:$A,0))</f>
        <v>Office Supplies</v>
      </c>
      <c r="H166" s="4" t="str">
        <f aca="false">INDEX(Customers!$C:$C,MATCH(D166,Customers!$A:$A,0))</f>
        <v>R08</v>
      </c>
      <c r="I166" s="7" t="n">
        <f aca="false">INDEX(Regions!$C:$C,MATCH(H166,Regions!$A:$A,0))</f>
        <v>0.12</v>
      </c>
      <c r="J166" s="7" t="n">
        <f aca="false">INDEX(Regions!$D:$D,MATCH(H166,Regions!$A:$A,0))</f>
        <v>0.04</v>
      </c>
      <c r="K166" s="4" t="n">
        <f aca="false">INDEX(Regions!$E:$E,MATCH(H166,Regions!$A:$A,0))</f>
        <v>12</v>
      </c>
      <c r="L166" s="5" t="n">
        <f aca="false">E166*F166</f>
        <v>372.2</v>
      </c>
      <c r="M166" s="5" t="n">
        <f aca="false">IF(E166&gt;=K166,L166*J166,0)</f>
        <v>0</v>
      </c>
      <c r="N166" s="5" t="n">
        <f aca="false">(L166-M166)*I166</f>
        <v>44.664</v>
      </c>
      <c r="O166" s="5" t="n">
        <f aca="false">L166-M166+N166</f>
        <v>416.864</v>
      </c>
    </row>
    <row r="167" customFormat="false" ht="15" hidden="false" customHeight="false" outlineLevel="0" collapsed="false">
      <c r="A167" s="4" t="s">
        <v>506</v>
      </c>
      <c r="B167" s="9" t="n">
        <v>45958</v>
      </c>
      <c r="C167" s="4" t="s">
        <v>46</v>
      </c>
      <c r="D167" s="4" t="s">
        <v>263</v>
      </c>
      <c r="E167" s="4" t="n">
        <v>2</v>
      </c>
      <c r="F167" s="5" t="n">
        <f aca="false">INDEX(Products!$E:$E,MATCH(C167,Products!$A:$A,0))</f>
        <v>37.16</v>
      </c>
      <c r="G167" s="4" t="str">
        <f aca="false">INDEX(Products!$C:$C,MATCH(C167,Products!$A:$A,0))</f>
        <v>Outdoor</v>
      </c>
      <c r="H167" s="4" t="str">
        <f aca="false">INDEX(Customers!$C:$C,MATCH(D167,Customers!$A:$A,0))</f>
        <v>R08</v>
      </c>
      <c r="I167" s="7" t="n">
        <f aca="false">INDEX(Regions!$C:$C,MATCH(H167,Regions!$A:$A,0))</f>
        <v>0.12</v>
      </c>
      <c r="J167" s="7" t="n">
        <f aca="false">INDEX(Regions!$D:$D,MATCH(H167,Regions!$A:$A,0))</f>
        <v>0.04</v>
      </c>
      <c r="K167" s="4" t="n">
        <f aca="false">INDEX(Regions!$E:$E,MATCH(H167,Regions!$A:$A,0))</f>
        <v>12</v>
      </c>
      <c r="L167" s="5" t="n">
        <f aca="false">E167*F167</f>
        <v>74.32</v>
      </c>
      <c r="M167" s="5" t="n">
        <f aca="false">IF(E167&gt;=K167,L167*J167,0)</f>
        <v>0</v>
      </c>
      <c r="N167" s="5" t="n">
        <f aca="false">(L167-M167)*I167</f>
        <v>8.9184</v>
      </c>
      <c r="O167" s="5" t="n">
        <f aca="false">L167-M167+N167</f>
        <v>83.2384</v>
      </c>
    </row>
    <row r="168" customFormat="false" ht="15" hidden="false" customHeight="false" outlineLevel="0" collapsed="false">
      <c r="A168" s="4" t="s">
        <v>507</v>
      </c>
      <c r="B168" s="9" t="n">
        <v>46001</v>
      </c>
      <c r="C168" s="4" t="s">
        <v>98</v>
      </c>
      <c r="D168" s="4" t="s">
        <v>263</v>
      </c>
      <c r="E168" s="4" t="n">
        <v>11</v>
      </c>
      <c r="F168" s="5" t="n">
        <f aca="false">INDEX(Products!$E:$E,MATCH(C168,Products!$A:$A,0))</f>
        <v>26.28</v>
      </c>
      <c r="G168" s="4" t="str">
        <f aca="false">INDEX(Products!$C:$C,MATCH(C168,Products!$A:$A,0))</f>
        <v>Home &amp; Kitchen</v>
      </c>
      <c r="H168" s="4" t="str">
        <f aca="false">INDEX(Customers!$C:$C,MATCH(D168,Customers!$A:$A,0))</f>
        <v>R08</v>
      </c>
      <c r="I168" s="7" t="n">
        <f aca="false">INDEX(Regions!$C:$C,MATCH(H168,Regions!$A:$A,0))</f>
        <v>0.12</v>
      </c>
      <c r="J168" s="7" t="n">
        <f aca="false">INDEX(Regions!$D:$D,MATCH(H168,Regions!$A:$A,0))</f>
        <v>0.04</v>
      </c>
      <c r="K168" s="4" t="n">
        <f aca="false">INDEX(Regions!$E:$E,MATCH(H168,Regions!$A:$A,0))</f>
        <v>12</v>
      </c>
      <c r="L168" s="5" t="n">
        <f aca="false">E168*F168</f>
        <v>289.08</v>
      </c>
      <c r="M168" s="5" t="n">
        <f aca="false">IF(E168&gt;=K168,L168*J168,0)</f>
        <v>0</v>
      </c>
      <c r="N168" s="5" t="n">
        <f aca="false">(L168-M168)*I168</f>
        <v>34.6896</v>
      </c>
      <c r="O168" s="5" t="n">
        <f aca="false">L168-M168+N168</f>
        <v>323.7696</v>
      </c>
    </row>
    <row r="169" customFormat="false" ht="15" hidden="false" customHeight="false" outlineLevel="0" collapsed="false">
      <c r="A169" s="4" t="s">
        <v>508</v>
      </c>
      <c r="B169" s="9" t="n">
        <v>45998</v>
      </c>
      <c r="C169" s="4" t="s">
        <v>44</v>
      </c>
      <c r="D169" s="4" t="s">
        <v>233</v>
      </c>
      <c r="E169" s="4" t="n">
        <v>12</v>
      </c>
      <c r="F169" s="5" t="n">
        <f aca="false">INDEX(Products!$E:$E,MATCH(C169,Products!$A:$A,0))</f>
        <v>393.99</v>
      </c>
      <c r="G169" s="4" t="str">
        <f aca="false">INDEX(Products!$C:$C,MATCH(C169,Products!$A:$A,0))</f>
        <v>Office Supplies</v>
      </c>
      <c r="H169" s="4" t="str">
        <f aca="false">INDEX(Customers!$C:$C,MATCH(D169,Customers!$A:$A,0))</f>
        <v>R05</v>
      </c>
      <c r="I169" s="7" t="n">
        <f aca="false">INDEX(Regions!$C:$C,MATCH(H169,Regions!$A:$A,0))</f>
        <v>0.0925</v>
      </c>
      <c r="J169" s="7" t="n">
        <f aca="false">INDEX(Regions!$D:$D,MATCH(H169,Regions!$A:$A,0))</f>
        <v>0.06</v>
      </c>
      <c r="K169" s="4" t="n">
        <f aca="false">INDEX(Regions!$E:$E,MATCH(H169,Regions!$A:$A,0))</f>
        <v>8</v>
      </c>
      <c r="L169" s="5" t="n">
        <f aca="false">E169*F169</f>
        <v>4727.88</v>
      </c>
      <c r="M169" s="5" t="n">
        <f aca="false">IF(E169&gt;=K169,L169*J169,0)</f>
        <v>283.6728</v>
      </c>
      <c r="N169" s="5" t="n">
        <f aca="false">(L169-M169)*I169</f>
        <v>411.089166</v>
      </c>
      <c r="O169" s="5" t="n">
        <f aca="false">L169-M169+N169</f>
        <v>4855.296366</v>
      </c>
    </row>
    <row r="170" customFormat="false" ht="15" hidden="false" customHeight="false" outlineLevel="0" collapsed="false">
      <c r="A170" s="4" t="s">
        <v>509</v>
      </c>
      <c r="B170" s="9" t="n">
        <v>45684</v>
      </c>
      <c r="C170" s="4" t="s">
        <v>82</v>
      </c>
      <c r="D170" s="4" t="s">
        <v>320</v>
      </c>
      <c r="E170" s="4" t="n">
        <v>30</v>
      </c>
      <c r="F170" s="5" t="n">
        <f aca="false">INDEX(Products!$E:$E,MATCH(C170,Products!$A:$A,0))</f>
        <v>365.87</v>
      </c>
      <c r="G170" s="4" t="str">
        <f aca="false">INDEX(Products!$C:$C,MATCH(C170,Products!$A:$A,0))</f>
        <v>Office Supplies</v>
      </c>
      <c r="H170" s="4" t="str">
        <f aca="false">INDEX(Customers!$C:$C,MATCH(D170,Customers!$A:$A,0))</f>
        <v>R06</v>
      </c>
      <c r="I170" s="7" t="n">
        <f aca="false">INDEX(Regions!$C:$C,MATCH(H170,Regions!$A:$A,0))</f>
        <v>0.06</v>
      </c>
      <c r="J170" s="7" t="n">
        <f aca="false">INDEX(Regions!$D:$D,MATCH(H170,Regions!$A:$A,0))</f>
        <v>0.04</v>
      </c>
      <c r="K170" s="4" t="n">
        <f aca="false">INDEX(Regions!$E:$E,MATCH(H170,Regions!$A:$A,0))</f>
        <v>12</v>
      </c>
      <c r="L170" s="5" t="n">
        <f aca="false">E170*F170</f>
        <v>10976.1</v>
      </c>
      <c r="M170" s="5" t="n">
        <f aca="false">IF(E170&gt;=K170,L170*J170,0)</f>
        <v>439.044</v>
      </c>
      <c r="N170" s="5" t="n">
        <f aca="false">(L170-M170)*I170</f>
        <v>632.22336</v>
      </c>
      <c r="O170" s="5" t="n">
        <f aca="false">L170-M170+N170</f>
        <v>11169.27936</v>
      </c>
    </row>
    <row r="171" customFormat="false" ht="15" hidden="false" customHeight="false" outlineLevel="0" collapsed="false">
      <c r="A171" s="4" t="s">
        <v>510</v>
      </c>
      <c r="B171" s="9" t="n">
        <v>45838</v>
      </c>
      <c r="C171" s="4" t="s">
        <v>66</v>
      </c>
      <c r="D171" s="4" t="s">
        <v>271</v>
      </c>
      <c r="E171" s="4" t="n">
        <v>10</v>
      </c>
      <c r="F171" s="5" t="n">
        <f aca="false">INDEX(Products!$E:$E,MATCH(C171,Products!$A:$A,0))</f>
        <v>55.31</v>
      </c>
      <c r="G171" s="4" t="str">
        <f aca="false">INDEX(Products!$C:$C,MATCH(C171,Products!$A:$A,0))</f>
        <v>Outdoor</v>
      </c>
      <c r="H171" s="4" t="str">
        <f aca="false">INDEX(Customers!$C:$C,MATCH(D171,Customers!$A:$A,0))</f>
        <v>R03</v>
      </c>
      <c r="I171" s="7" t="n">
        <f aca="false">INDEX(Regions!$C:$C,MATCH(H171,Regions!$A:$A,0))</f>
        <v>0.0625</v>
      </c>
      <c r="J171" s="7" t="n">
        <f aca="false">INDEX(Regions!$D:$D,MATCH(H171,Regions!$A:$A,0))</f>
        <v>0.03</v>
      </c>
      <c r="K171" s="4" t="n">
        <f aca="false">INDEX(Regions!$E:$E,MATCH(H171,Regions!$A:$A,0))</f>
        <v>15</v>
      </c>
      <c r="L171" s="5" t="n">
        <f aca="false">E171*F171</f>
        <v>553.1</v>
      </c>
      <c r="M171" s="5" t="n">
        <f aca="false">IF(E171&gt;=K171,L171*J171,0)</f>
        <v>0</v>
      </c>
      <c r="N171" s="5" t="n">
        <f aca="false">(L171-M171)*I171</f>
        <v>34.56875</v>
      </c>
      <c r="O171" s="5" t="n">
        <f aca="false">L171-M171+N171</f>
        <v>587.66875</v>
      </c>
    </row>
    <row r="172" customFormat="false" ht="15" hidden="false" customHeight="false" outlineLevel="0" collapsed="false">
      <c r="A172" s="4" t="s">
        <v>511</v>
      </c>
      <c r="B172" s="9" t="n">
        <v>45766</v>
      </c>
      <c r="C172" s="4" t="s">
        <v>42</v>
      </c>
      <c r="D172" s="4" t="s">
        <v>266</v>
      </c>
      <c r="E172" s="4" t="n">
        <v>17</v>
      </c>
      <c r="F172" s="5" t="n">
        <f aca="false">INDEX(Products!$E:$E,MATCH(C172,Products!$A:$A,0))</f>
        <v>156.05</v>
      </c>
      <c r="G172" s="4" t="str">
        <f aca="false">INDEX(Products!$C:$C,MATCH(C172,Products!$A:$A,0))</f>
        <v>Electronics</v>
      </c>
      <c r="H172" s="4" t="str">
        <f aca="false">INDEX(Customers!$C:$C,MATCH(D172,Customers!$A:$A,0))</f>
        <v>R05</v>
      </c>
      <c r="I172" s="7" t="n">
        <f aca="false">INDEX(Regions!$C:$C,MATCH(H172,Regions!$A:$A,0))</f>
        <v>0.0925</v>
      </c>
      <c r="J172" s="7" t="n">
        <f aca="false">INDEX(Regions!$D:$D,MATCH(H172,Regions!$A:$A,0))</f>
        <v>0.06</v>
      </c>
      <c r="K172" s="4" t="n">
        <f aca="false">INDEX(Regions!$E:$E,MATCH(H172,Regions!$A:$A,0))</f>
        <v>8</v>
      </c>
      <c r="L172" s="5" t="n">
        <f aca="false">E172*F172</f>
        <v>2652.85</v>
      </c>
      <c r="M172" s="5" t="n">
        <f aca="false">IF(E172&gt;=K172,L172*J172,0)</f>
        <v>159.171</v>
      </c>
      <c r="N172" s="5" t="n">
        <f aca="false">(L172-M172)*I172</f>
        <v>230.6653075</v>
      </c>
      <c r="O172" s="5" t="n">
        <f aca="false">L172-M172+N172</f>
        <v>2724.3443075</v>
      </c>
    </row>
    <row r="173" customFormat="false" ht="15" hidden="false" customHeight="false" outlineLevel="0" collapsed="false">
      <c r="A173" s="4" t="s">
        <v>512</v>
      </c>
      <c r="B173" s="9" t="n">
        <v>45772</v>
      </c>
      <c r="C173" s="4" t="s">
        <v>49</v>
      </c>
      <c r="D173" s="4" t="s">
        <v>283</v>
      </c>
      <c r="E173" s="4" t="n">
        <v>16</v>
      </c>
      <c r="F173" s="5" t="n">
        <f aca="false">INDEX(Products!$E:$E,MATCH(C173,Products!$A:$A,0))</f>
        <v>229.76</v>
      </c>
      <c r="G173" s="4" t="str">
        <f aca="false">INDEX(Products!$C:$C,MATCH(C173,Products!$A:$A,0))</f>
        <v>Home &amp; Kitchen</v>
      </c>
      <c r="H173" s="4" t="str">
        <f aca="false">INDEX(Customers!$C:$C,MATCH(D173,Customers!$A:$A,0))</f>
        <v>R03</v>
      </c>
      <c r="I173" s="7" t="n">
        <f aca="false">INDEX(Regions!$C:$C,MATCH(H173,Regions!$A:$A,0))</f>
        <v>0.0625</v>
      </c>
      <c r="J173" s="7" t="n">
        <f aca="false">INDEX(Regions!$D:$D,MATCH(H173,Regions!$A:$A,0))</f>
        <v>0.03</v>
      </c>
      <c r="K173" s="4" t="n">
        <f aca="false">INDEX(Regions!$E:$E,MATCH(H173,Regions!$A:$A,0))</f>
        <v>15</v>
      </c>
      <c r="L173" s="5" t="n">
        <f aca="false">E173*F173</f>
        <v>3676.16</v>
      </c>
      <c r="M173" s="5" t="n">
        <f aca="false">IF(E173&gt;=K173,L173*J173,0)</f>
        <v>110.2848</v>
      </c>
      <c r="N173" s="5" t="n">
        <f aca="false">(L173-M173)*I173</f>
        <v>222.8672</v>
      </c>
      <c r="O173" s="5" t="n">
        <f aca="false">L173-M173+N173</f>
        <v>3788.7424</v>
      </c>
    </row>
    <row r="174" customFormat="false" ht="15" hidden="false" customHeight="false" outlineLevel="0" collapsed="false">
      <c r="A174" s="4" t="s">
        <v>513</v>
      </c>
      <c r="B174" s="9" t="n">
        <v>45942</v>
      </c>
      <c r="C174" s="4" t="s">
        <v>42</v>
      </c>
      <c r="D174" s="4" t="s">
        <v>219</v>
      </c>
      <c r="E174" s="4" t="n">
        <v>28</v>
      </c>
      <c r="F174" s="5" t="n">
        <f aca="false">INDEX(Products!$E:$E,MATCH(C174,Products!$A:$A,0))</f>
        <v>156.05</v>
      </c>
      <c r="G174" s="4" t="str">
        <f aca="false">INDEX(Products!$C:$C,MATCH(C174,Products!$A:$A,0))</f>
        <v>Electronics</v>
      </c>
      <c r="H174" s="4" t="str">
        <f aca="false">INDEX(Customers!$C:$C,MATCH(D174,Customers!$A:$A,0))</f>
        <v>R05</v>
      </c>
      <c r="I174" s="7" t="n">
        <f aca="false">INDEX(Regions!$C:$C,MATCH(H174,Regions!$A:$A,0))</f>
        <v>0.0925</v>
      </c>
      <c r="J174" s="7" t="n">
        <f aca="false">INDEX(Regions!$D:$D,MATCH(H174,Regions!$A:$A,0))</f>
        <v>0.06</v>
      </c>
      <c r="K174" s="4" t="n">
        <f aca="false">INDEX(Regions!$E:$E,MATCH(H174,Regions!$A:$A,0))</f>
        <v>8</v>
      </c>
      <c r="L174" s="5" t="n">
        <f aca="false">E174*F174</f>
        <v>4369.4</v>
      </c>
      <c r="M174" s="5" t="n">
        <f aca="false">IF(E174&gt;=K174,L174*J174,0)</f>
        <v>262.164</v>
      </c>
      <c r="N174" s="5" t="n">
        <f aca="false">(L174-M174)*I174</f>
        <v>379.91933</v>
      </c>
      <c r="O174" s="5" t="n">
        <f aca="false">L174-M174+N174</f>
        <v>4487.15533</v>
      </c>
    </row>
    <row r="175" customFormat="false" ht="15" hidden="false" customHeight="false" outlineLevel="0" collapsed="false">
      <c r="A175" s="4" t="s">
        <v>514</v>
      </c>
      <c r="B175" s="9" t="n">
        <v>45800</v>
      </c>
      <c r="C175" s="4" t="s">
        <v>75</v>
      </c>
      <c r="D175" s="4" t="s">
        <v>163</v>
      </c>
      <c r="E175" s="4" t="n">
        <v>25</v>
      </c>
      <c r="F175" s="5" t="n">
        <f aca="false">INDEX(Products!$E:$E,MATCH(C175,Products!$A:$A,0))</f>
        <v>502.27</v>
      </c>
      <c r="G175" s="4" t="str">
        <f aca="false">INDEX(Products!$C:$C,MATCH(C175,Products!$A:$A,0))</f>
        <v>Office Supplies</v>
      </c>
      <c r="H175" s="4" t="str">
        <f aca="false">INDEX(Customers!$C:$C,MATCH(D175,Customers!$A:$A,0))</f>
        <v>R02</v>
      </c>
      <c r="I175" s="7" t="n">
        <f aca="false">INDEX(Regions!$C:$C,MATCH(H175,Regions!$A:$A,0))</f>
        <v>0.07</v>
      </c>
      <c r="J175" s="7" t="n">
        <f aca="false">INDEX(Regions!$D:$D,MATCH(H175,Regions!$A:$A,0))</f>
        <v>0.04</v>
      </c>
      <c r="K175" s="4" t="n">
        <f aca="false">INDEX(Regions!$E:$E,MATCH(H175,Regions!$A:$A,0))</f>
        <v>12</v>
      </c>
      <c r="L175" s="5" t="n">
        <f aca="false">E175*F175</f>
        <v>12556.75</v>
      </c>
      <c r="M175" s="5" t="n">
        <f aca="false">IF(E175&gt;=K175,L175*J175,0)</f>
        <v>502.27</v>
      </c>
      <c r="N175" s="5" t="n">
        <f aca="false">(L175-M175)*I175</f>
        <v>843.8136</v>
      </c>
      <c r="O175" s="5" t="n">
        <f aca="false">L175-M175+N175</f>
        <v>12898.2936</v>
      </c>
    </row>
    <row r="176" customFormat="false" ht="15" hidden="false" customHeight="false" outlineLevel="0" collapsed="false">
      <c r="A176" s="4" t="s">
        <v>515</v>
      </c>
      <c r="B176" s="9" t="n">
        <v>45877</v>
      </c>
      <c r="C176" s="4" t="s">
        <v>99</v>
      </c>
      <c r="D176" s="4" t="s">
        <v>189</v>
      </c>
      <c r="E176" s="4" t="n">
        <v>26</v>
      </c>
      <c r="F176" s="5" t="n">
        <f aca="false">INDEX(Products!$E:$E,MATCH(C176,Products!$A:$A,0))</f>
        <v>13</v>
      </c>
      <c r="G176" s="4" t="str">
        <f aca="false">INDEX(Products!$C:$C,MATCH(C176,Products!$A:$A,0))</f>
        <v>Home &amp; Kitchen</v>
      </c>
      <c r="H176" s="4" t="str">
        <f aca="false">INDEX(Customers!$C:$C,MATCH(D176,Customers!$A:$A,0))</f>
        <v>R08</v>
      </c>
      <c r="I176" s="7" t="n">
        <f aca="false">INDEX(Regions!$C:$C,MATCH(H176,Regions!$A:$A,0))</f>
        <v>0.12</v>
      </c>
      <c r="J176" s="7" t="n">
        <f aca="false">INDEX(Regions!$D:$D,MATCH(H176,Regions!$A:$A,0))</f>
        <v>0.04</v>
      </c>
      <c r="K176" s="4" t="n">
        <f aca="false">INDEX(Regions!$E:$E,MATCH(H176,Regions!$A:$A,0))</f>
        <v>12</v>
      </c>
      <c r="L176" s="5" t="n">
        <f aca="false">E176*F176</f>
        <v>338</v>
      </c>
      <c r="M176" s="5" t="n">
        <f aca="false">IF(E176&gt;=K176,L176*J176,0)</f>
        <v>13.52</v>
      </c>
      <c r="N176" s="5" t="n">
        <f aca="false">(L176-M176)*I176</f>
        <v>38.9376</v>
      </c>
      <c r="O176" s="5" t="n">
        <f aca="false">L176-M176+N176</f>
        <v>363.4176</v>
      </c>
    </row>
    <row r="177" customFormat="false" ht="15" hidden="false" customHeight="false" outlineLevel="0" collapsed="false">
      <c r="A177" s="4" t="s">
        <v>516</v>
      </c>
      <c r="B177" s="9" t="n">
        <v>45976</v>
      </c>
      <c r="C177" s="4" t="s">
        <v>98</v>
      </c>
      <c r="D177" s="4" t="s">
        <v>302</v>
      </c>
      <c r="E177" s="4" t="n">
        <v>27</v>
      </c>
      <c r="F177" s="5" t="n">
        <f aca="false">INDEX(Products!$E:$E,MATCH(C177,Products!$A:$A,0))</f>
        <v>26.28</v>
      </c>
      <c r="G177" s="4" t="str">
        <f aca="false">INDEX(Products!$C:$C,MATCH(C177,Products!$A:$A,0))</f>
        <v>Home &amp; Kitchen</v>
      </c>
      <c r="H177" s="4" t="str">
        <f aca="false">INDEX(Customers!$C:$C,MATCH(D177,Customers!$A:$A,0))</f>
        <v>R07</v>
      </c>
      <c r="I177" s="7" t="n">
        <f aca="false">INDEX(Regions!$C:$C,MATCH(H177,Regions!$A:$A,0))</f>
        <v>0.15</v>
      </c>
      <c r="J177" s="7" t="n">
        <f aca="false">INDEX(Regions!$D:$D,MATCH(H177,Regions!$A:$A,0))</f>
        <v>0.05</v>
      </c>
      <c r="K177" s="4" t="n">
        <f aca="false">INDEX(Regions!$E:$E,MATCH(H177,Regions!$A:$A,0))</f>
        <v>10</v>
      </c>
      <c r="L177" s="5" t="n">
        <f aca="false">E177*F177</f>
        <v>709.56</v>
      </c>
      <c r="M177" s="5" t="n">
        <f aca="false">IF(E177&gt;=K177,L177*J177,0)</f>
        <v>35.478</v>
      </c>
      <c r="N177" s="5" t="n">
        <f aca="false">(L177-M177)*I177</f>
        <v>101.1123</v>
      </c>
      <c r="O177" s="5" t="n">
        <f aca="false">L177-M177+N177</f>
        <v>775.1943</v>
      </c>
    </row>
    <row r="178" customFormat="false" ht="15" hidden="false" customHeight="false" outlineLevel="0" collapsed="false">
      <c r="A178" s="4" t="s">
        <v>517</v>
      </c>
      <c r="B178" s="9" t="n">
        <v>45943</v>
      </c>
      <c r="C178" s="4" t="s">
        <v>105</v>
      </c>
      <c r="D178" s="4" t="s">
        <v>286</v>
      </c>
      <c r="E178" s="4" t="n">
        <v>21</v>
      </c>
      <c r="F178" s="5" t="n">
        <f aca="false">INDEX(Products!$E:$E,MATCH(C178,Products!$A:$A,0))</f>
        <v>216.46</v>
      </c>
      <c r="G178" s="4" t="str">
        <f aca="false">INDEX(Products!$C:$C,MATCH(C178,Products!$A:$A,0))</f>
        <v>Apparel</v>
      </c>
      <c r="H178" s="4" t="str">
        <f aca="false">INDEX(Customers!$C:$C,MATCH(D178,Customers!$A:$A,0))</f>
        <v>R02</v>
      </c>
      <c r="I178" s="7" t="n">
        <f aca="false">INDEX(Regions!$C:$C,MATCH(H178,Regions!$A:$A,0))</f>
        <v>0.07</v>
      </c>
      <c r="J178" s="7" t="n">
        <f aca="false">INDEX(Regions!$D:$D,MATCH(H178,Regions!$A:$A,0))</f>
        <v>0.04</v>
      </c>
      <c r="K178" s="4" t="n">
        <f aca="false">INDEX(Regions!$E:$E,MATCH(H178,Regions!$A:$A,0))</f>
        <v>12</v>
      </c>
      <c r="L178" s="5" t="n">
        <f aca="false">E178*F178</f>
        <v>4545.66</v>
      </c>
      <c r="M178" s="5" t="n">
        <f aca="false">IF(E178&gt;=K178,L178*J178,0)</f>
        <v>181.8264</v>
      </c>
      <c r="N178" s="5" t="n">
        <f aca="false">(L178-M178)*I178</f>
        <v>305.468352</v>
      </c>
      <c r="O178" s="5" t="n">
        <f aca="false">L178-M178+N178</f>
        <v>4669.301952</v>
      </c>
    </row>
    <row r="179" customFormat="false" ht="15" hidden="false" customHeight="false" outlineLevel="0" collapsed="false">
      <c r="A179" s="4" t="s">
        <v>518</v>
      </c>
      <c r="B179" s="9" t="n">
        <v>45994</v>
      </c>
      <c r="C179" s="4" t="s">
        <v>29</v>
      </c>
      <c r="D179" s="4" t="s">
        <v>273</v>
      </c>
      <c r="E179" s="4" t="n">
        <v>30</v>
      </c>
      <c r="F179" s="5" t="n">
        <f aca="false">INDEX(Products!$E:$E,MATCH(C179,Products!$A:$A,0))</f>
        <v>43.42</v>
      </c>
      <c r="G179" s="4" t="str">
        <f aca="false">INDEX(Products!$C:$C,MATCH(C179,Products!$A:$A,0))</f>
        <v>Apparel</v>
      </c>
      <c r="H179" s="4" t="str">
        <f aca="false">INDEX(Customers!$C:$C,MATCH(D179,Customers!$A:$A,0))</f>
        <v>R01</v>
      </c>
      <c r="I179" s="7" t="n">
        <f aca="false">INDEX(Regions!$C:$C,MATCH(H179,Regions!$A:$A,0))</f>
        <v>0.0825</v>
      </c>
      <c r="J179" s="7" t="n">
        <f aca="false">INDEX(Regions!$D:$D,MATCH(H179,Regions!$A:$A,0))</f>
        <v>0.05</v>
      </c>
      <c r="K179" s="4" t="n">
        <f aca="false">INDEX(Regions!$E:$E,MATCH(H179,Regions!$A:$A,0))</f>
        <v>10</v>
      </c>
      <c r="L179" s="5" t="n">
        <f aca="false">E179*F179</f>
        <v>1302.6</v>
      </c>
      <c r="M179" s="5" t="n">
        <f aca="false">IF(E179&gt;=K179,L179*J179,0)</f>
        <v>65.13</v>
      </c>
      <c r="N179" s="5" t="n">
        <f aca="false">(L179-M179)*I179</f>
        <v>102.091275</v>
      </c>
      <c r="O179" s="5" t="n">
        <f aca="false">L179-M179+N179</f>
        <v>1339.561275</v>
      </c>
    </row>
    <row r="180" customFormat="false" ht="15" hidden="false" customHeight="false" outlineLevel="0" collapsed="false">
      <c r="A180" s="4" t="s">
        <v>519</v>
      </c>
      <c r="B180" s="9" t="n">
        <v>45797</v>
      </c>
      <c r="C180" s="4" t="s">
        <v>64</v>
      </c>
      <c r="D180" s="4" t="s">
        <v>140</v>
      </c>
      <c r="E180" s="4" t="n">
        <v>6</v>
      </c>
      <c r="F180" s="5" t="n">
        <f aca="false">INDEX(Products!$E:$E,MATCH(C180,Products!$A:$A,0))</f>
        <v>340.32</v>
      </c>
      <c r="G180" s="4" t="str">
        <f aca="false">INDEX(Products!$C:$C,MATCH(C180,Products!$A:$A,0))</f>
        <v>Apparel</v>
      </c>
      <c r="H180" s="4" t="str">
        <f aca="false">INDEX(Customers!$C:$C,MATCH(D180,Customers!$A:$A,0))</f>
        <v>R04</v>
      </c>
      <c r="I180" s="7" t="n">
        <f aca="false">INDEX(Regions!$C:$C,MATCH(H180,Regions!$A:$A,0))</f>
        <v>0.08</v>
      </c>
      <c r="J180" s="7" t="n">
        <f aca="false">INDEX(Regions!$D:$D,MATCH(H180,Regions!$A:$A,0))</f>
        <v>0.05</v>
      </c>
      <c r="K180" s="4" t="n">
        <f aca="false">INDEX(Regions!$E:$E,MATCH(H180,Regions!$A:$A,0))</f>
        <v>10</v>
      </c>
      <c r="L180" s="5" t="n">
        <f aca="false">E180*F180</f>
        <v>2041.92</v>
      </c>
      <c r="M180" s="5" t="n">
        <f aca="false">IF(E180&gt;=K180,L180*J180,0)</f>
        <v>0</v>
      </c>
      <c r="N180" s="5" t="n">
        <f aca="false">(L180-M180)*I180</f>
        <v>163.3536</v>
      </c>
      <c r="O180" s="5" t="n">
        <f aca="false">L180-M180+N180</f>
        <v>2205.2736</v>
      </c>
    </row>
    <row r="181" customFormat="false" ht="15" hidden="false" customHeight="false" outlineLevel="0" collapsed="false">
      <c r="A181" s="4" t="s">
        <v>520</v>
      </c>
      <c r="B181" s="9" t="n">
        <v>45837</v>
      </c>
      <c r="C181" s="4" t="s">
        <v>67</v>
      </c>
      <c r="D181" s="4" t="s">
        <v>330</v>
      </c>
      <c r="E181" s="4" t="n">
        <v>11</v>
      </c>
      <c r="F181" s="5" t="n">
        <f aca="false">INDEX(Products!$E:$E,MATCH(C181,Products!$A:$A,0))</f>
        <v>198.43</v>
      </c>
      <c r="G181" s="4" t="str">
        <f aca="false">INDEX(Products!$C:$C,MATCH(C181,Products!$A:$A,0))</f>
        <v>Apparel</v>
      </c>
      <c r="H181" s="4" t="str">
        <f aca="false">INDEX(Customers!$C:$C,MATCH(D181,Customers!$A:$A,0))</f>
        <v>R02</v>
      </c>
      <c r="I181" s="7" t="n">
        <f aca="false">INDEX(Regions!$C:$C,MATCH(H181,Regions!$A:$A,0))</f>
        <v>0.07</v>
      </c>
      <c r="J181" s="7" t="n">
        <f aca="false">INDEX(Regions!$D:$D,MATCH(H181,Regions!$A:$A,0))</f>
        <v>0.04</v>
      </c>
      <c r="K181" s="4" t="n">
        <f aca="false">INDEX(Regions!$E:$E,MATCH(H181,Regions!$A:$A,0))</f>
        <v>12</v>
      </c>
      <c r="L181" s="5" t="n">
        <f aca="false">E181*F181</f>
        <v>2182.73</v>
      </c>
      <c r="M181" s="5" t="n">
        <f aca="false">IF(E181&gt;=K181,L181*J181,0)</f>
        <v>0</v>
      </c>
      <c r="N181" s="5" t="n">
        <f aca="false">(L181-M181)*I181</f>
        <v>152.7911</v>
      </c>
      <c r="O181" s="5" t="n">
        <f aca="false">L181-M181+N181</f>
        <v>2335.5211</v>
      </c>
    </row>
    <row r="182" customFormat="false" ht="15" hidden="false" customHeight="false" outlineLevel="0" collapsed="false">
      <c r="A182" s="4" t="s">
        <v>521</v>
      </c>
      <c r="B182" s="9" t="n">
        <v>45731</v>
      </c>
      <c r="C182" s="4" t="s">
        <v>26</v>
      </c>
      <c r="D182" s="4" t="s">
        <v>180</v>
      </c>
      <c r="E182" s="4" t="n">
        <v>28</v>
      </c>
      <c r="F182" s="5" t="n">
        <f aca="false">INDEX(Products!$E:$E,MATCH(C182,Products!$A:$A,0))</f>
        <v>89.87</v>
      </c>
      <c r="G182" s="4" t="str">
        <f aca="false">INDEX(Products!$C:$C,MATCH(C182,Products!$A:$A,0))</f>
        <v>Office Supplies</v>
      </c>
      <c r="H182" s="4" t="str">
        <f aca="false">INDEX(Customers!$C:$C,MATCH(D182,Customers!$A:$A,0))</f>
        <v>R05</v>
      </c>
      <c r="I182" s="7" t="n">
        <f aca="false">INDEX(Regions!$C:$C,MATCH(H182,Regions!$A:$A,0))</f>
        <v>0.0925</v>
      </c>
      <c r="J182" s="7" t="n">
        <f aca="false">INDEX(Regions!$D:$D,MATCH(H182,Regions!$A:$A,0))</f>
        <v>0.06</v>
      </c>
      <c r="K182" s="4" t="n">
        <f aca="false">INDEX(Regions!$E:$E,MATCH(H182,Regions!$A:$A,0))</f>
        <v>8</v>
      </c>
      <c r="L182" s="5" t="n">
        <f aca="false">E182*F182</f>
        <v>2516.36</v>
      </c>
      <c r="M182" s="5" t="n">
        <f aca="false">IF(E182&gt;=K182,L182*J182,0)</f>
        <v>150.9816</v>
      </c>
      <c r="N182" s="5" t="n">
        <f aca="false">(L182-M182)*I182</f>
        <v>218.797502</v>
      </c>
      <c r="O182" s="5" t="n">
        <f aca="false">L182-M182+N182</f>
        <v>2584.175902</v>
      </c>
    </row>
    <row r="183" customFormat="false" ht="15" hidden="false" customHeight="false" outlineLevel="0" collapsed="false">
      <c r="A183" s="4" t="s">
        <v>522</v>
      </c>
      <c r="B183" s="9" t="n">
        <v>45693</v>
      </c>
      <c r="C183" s="4" t="s">
        <v>99</v>
      </c>
      <c r="D183" s="4" t="s">
        <v>283</v>
      </c>
      <c r="E183" s="4" t="n">
        <v>13</v>
      </c>
      <c r="F183" s="5" t="n">
        <f aca="false">INDEX(Products!$E:$E,MATCH(C183,Products!$A:$A,0))</f>
        <v>13</v>
      </c>
      <c r="G183" s="4" t="str">
        <f aca="false">INDEX(Products!$C:$C,MATCH(C183,Products!$A:$A,0))</f>
        <v>Home &amp; Kitchen</v>
      </c>
      <c r="H183" s="4" t="str">
        <f aca="false">INDEX(Customers!$C:$C,MATCH(D183,Customers!$A:$A,0))</f>
        <v>R03</v>
      </c>
      <c r="I183" s="7" t="n">
        <f aca="false">INDEX(Regions!$C:$C,MATCH(H183,Regions!$A:$A,0))</f>
        <v>0.0625</v>
      </c>
      <c r="J183" s="7" t="n">
        <f aca="false">INDEX(Regions!$D:$D,MATCH(H183,Regions!$A:$A,0))</f>
        <v>0.03</v>
      </c>
      <c r="K183" s="4" t="n">
        <f aca="false">INDEX(Regions!$E:$E,MATCH(H183,Regions!$A:$A,0))</f>
        <v>15</v>
      </c>
      <c r="L183" s="5" t="n">
        <f aca="false">E183*F183</f>
        <v>169</v>
      </c>
      <c r="M183" s="5" t="n">
        <f aca="false">IF(E183&gt;=K183,L183*J183,0)</f>
        <v>0</v>
      </c>
      <c r="N183" s="5" t="n">
        <f aca="false">(L183-M183)*I183</f>
        <v>10.5625</v>
      </c>
      <c r="O183" s="5" t="n">
        <f aca="false">L183-M183+N183</f>
        <v>179.5625</v>
      </c>
    </row>
    <row r="184" customFormat="false" ht="15" hidden="false" customHeight="false" outlineLevel="0" collapsed="false">
      <c r="A184" s="4" t="s">
        <v>523</v>
      </c>
      <c r="B184" s="9" t="n">
        <v>45673</v>
      </c>
      <c r="C184" s="4" t="s">
        <v>49</v>
      </c>
      <c r="D184" s="4" t="s">
        <v>297</v>
      </c>
      <c r="E184" s="4" t="n">
        <v>21</v>
      </c>
      <c r="F184" s="5" t="n">
        <f aca="false">INDEX(Products!$E:$E,MATCH(C184,Products!$A:$A,0))</f>
        <v>229.76</v>
      </c>
      <c r="G184" s="4" t="str">
        <f aca="false">INDEX(Products!$C:$C,MATCH(C184,Products!$A:$A,0))</f>
        <v>Home &amp; Kitchen</v>
      </c>
      <c r="H184" s="4" t="str">
        <f aca="false">INDEX(Customers!$C:$C,MATCH(D184,Customers!$A:$A,0))</f>
        <v>R07</v>
      </c>
      <c r="I184" s="7" t="n">
        <f aca="false">INDEX(Regions!$C:$C,MATCH(H184,Regions!$A:$A,0))</f>
        <v>0.15</v>
      </c>
      <c r="J184" s="7" t="n">
        <f aca="false">INDEX(Regions!$D:$D,MATCH(H184,Regions!$A:$A,0))</f>
        <v>0.05</v>
      </c>
      <c r="K184" s="4" t="n">
        <f aca="false">INDEX(Regions!$E:$E,MATCH(H184,Regions!$A:$A,0))</f>
        <v>10</v>
      </c>
      <c r="L184" s="5" t="n">
        <f aca="false">E184*F184</f>
        <v>4824.96</v>
      </c>
      <c r="M184" s="5" t="n">
        <f aca="false">IF(E184&gt;=K184,L184*J184,0)</f>
        <v>241.248</v>
      </c>
      <c r="N184" s="5" t="n">
        <f aca="false">(L184-M184)*I184</f>
        <v>687.5568</v>
      </c>
      <c r="O184" s="5" t="n">
        <f aca="false">L184-M184+N184</f>
        <v>5271.2688</v>
      </c>
    </row>
    <row r="185" customFormat="false" ht="15" hidden="false" customHeight="false" outlineLevel="0" collapsed="false">
      <c r="A185" s="4" t="s">
        <v>524</v>
      </c>
      <c r="B185" s="9" t="n">
        <v>45768</v>
      </c>
      <c r="C185" s="4" t="s">
        <v>40</v>
      </c>
      <c r="D185" s="4" t="s">
        <v>298</v>
      </c>
      <c r="E185" s="4" t="n">
        <v>17</v>
      </c>
      <c r="F185" s="5" t="n">
        <f aca="false">INDEX(Products!$E:$E,MATCH(C185,Products!$A:$A,0))</f>
        <v>93.05</v>
      </c>
      <c r="G185" s="4" t="str">
        <f aca="false">INDEX(Products!$C:$C,MATCH(C185,Products!$A:$A,0))</f>
        <v>Office Supplies</v>
      </c>
      <c r="H185" s="4" t="str">
        <f aca="false">INDEX(Customers!$C:$C,MATCH(D185,Customers!$A:$A,0))</f>
        <v>R08</v>
      </c>
      <c r="I185" s="7" t="n">
        <f aca="false">INDEX(Regions!$C:$C,MATCH(H185,Regions!$A:$A,0))</f>
        <v>0.12</v>
      </c>
      <c r="J185" s="7" t="n">
        <f aca="false">INDEX(Regions!$D:$D,MATCH(H185,Regions!$A:$A,0))</f>
        <v>0.04</v>
      </c>
      <c r="K185" s="4" t="n">
        <f aca="false">INDEX(Regions!$E:$E,MATCH(H185,Regions!$A:$A,0))</f>
        <v>12</v>
      </c>
      <c r="L185" s="5" t="n">
        <f aca="false">E185*F185</f>
        <v>1581.85</v>
      </c>
      <c r="M185" s="5" t="n">
        <f aca="false">IF(E185&gt;=K185,L185*J185,0)</f>
        <v>63.274</v>
      </c>
      <c r="N185" s="5" t="n">
        <f aca="false">(L185-M185)*I185</f>
        <v>182.22912</v>
      </c>
      <c r="O185" s="5" t="n">
        <f aca="false">L185-M185+N185</f>
        <v>1700.80512</v>
      </c>
    </row>
    <row r="186" customFormat="false" ht="15" hidden="false" customHeight="false" outlineLevel="0" collapsed="false">
      <c r="A186" s="4" t="s">
        <v>525</v>
      </c>
      <c r="B186" s="9" t="n">
        <v>45832</v>
      </c>
      <c r="C186" s="4" t="s">
        <v>77</v>
      </c>
      <c r="D186" s="4" t="s">
        <v>235</v>
      </c>
      <c r="E186" s="4" t="n">
        <v>15</v>
      </c>
      <c r="F186" s="5" t="n">
        <f aca="false">INDEX(Products!$E:$E,MATCH(C186,Products!$A:$A,0))</f>
        <v>302.78</v>
      </c>
      <c r="G186" s="4" t="str">
        <f aca="false">INDEX(Products!$C:$C,MATCH(C186,Products!$A:$A,0))</f>
        <v>Electronics</v>
      </c>
      <c r="H186" s="4" t="str">
        <f aca="false">INDEX(Customers!$C:$C,MATCH(D186,Customers!$A:$A,0))</f>
        <v>R05</v>
      </c>
      <c r="I186" s="7" t="n">
        <f aca="false">INDEX(Regions!$C:$C,MATCH(H186,Regions!$A:$A,0))</f>
        <v>0.0925</v>
      </c>
      <c r="J186" s="7" t="n">
        <f aca="false">INDEX(Regions!$D:$D,MATCH(H186,Regions!$A:$A,0))</f>
        <v>0.06</v>
      </c>
      <c r="K186" s="4" t="n">
        <f aca="false">INDEX(Regions!$E:$E,MATCH(H186,Regions!$A:$A,0))</f>
        <v>8</v>
      </c>
      <c r="L186" s="5" t="n">
        <f aca="false">E186*F186</f>
        <v>4541.7</v>
      </c>
      <c r="M186" s="5" t="n">
        <f aca="false">IF(E186&gt;=K186,L186*J186,0)</f>
        <v>272.502</v>
      </c>
      <c r="N186" s="5" t="n">
        <f aca="false">(L186-M186)*I186</f>
        <v>394.900815</v>
      </c>
      <c r="O186" s="5" t="n">
        <f aca="false">L186-M186+N186</f>
        <v>4664.098815</v>
      </c>
    </row>
    <row r="187" customFormat="false" ht="15" hidden="false" customHeight="false" outlineLevel="0" collapsed="false">
      <c r="A187" s="4" t="s">
        <v>526</v>
      </c>
      <c r="B187" s="9" t="n">
        <v>45824</v>
      </c>
      <c r="C187" s="4" t="s">
        <v>50</v>
      </c>
      <c r="D187" s="4" t="s">
        <v>224</v>
      </c>
      <c r="E187" s="4" t="n">
        <v>10</v>
      </c>
      <c r="F187" s="5" t="n">
        <f aca="false">INDEX(Products!$E:$E,MATCH(C187,Products!$A:$A,0))</f>
        <v>508.17</v>
      </c>
      <c r="G187" s="4" t="str">
        <f aca="false">INDEX(Products!$C:$C,MATCH(C187,Products!$A:$A,0))</f>
        <v>Office Supplies</v>
      </c>
      <c r="H187" s="4" t="str">
        <f aca="false">INDEX(Customers!$C:$C,MATCH(D187,Customers!$A:$A,0))</f>
        <v>R01</v>
      </c>
      <c r="I187" s="7" t="n">
        <f aca="false">INDEX(Regions!$C:$C,MATCH(H187,Regions!$A:$A,0))</f>
        <v>0.0825</v>
      </c>
      <c r="J187" s="7" t="n">
        <f aca="false">INDEX(Regions!$D:$D,MATCH(H187,Regions!$A:$A,0))</f>
        <v>0.05</v>
      </c>
      <c r="K187" s="4" t="n">
        <f aca="false">INDEX(Regions!$E:$E,MATCH(H187,Regions!$A:$A,0))</f>
        <v>10</v>
      </c>
      <c r="L187" s="5" t="n">
        <f aca="false">E187*F187</f>
        <v>5081.7</v>
      </c>
      <c r="M187" s="5" t="n">
        <f aca="false">IF(E187&gt;=K187,L187*J187,0)</f>
        <v>254.085</v>
      </c>
      <c r="N187" s="5" t="n">
        <f aca="false">(L187-M187)*I187</f>
        <v>398.2782375</v>
      </c>
      <c r="O187" s="5" t="n">
        <f aca="false">L187-M187+N187</f>
        <v>5225.8932375</v>
      </c>
    </row>
    <row r="188" customFormat="false" ht="15" hidden="false" customHeight="false" outlineLevel="0" collapsed="false">
      <c r="A188" s="4" t="s">
        <v>527</v>
      </c>
      <c r="B188" s="9" t="n">
        <v>45684</v>
      </c>
      <c r="C188" s="4" t="s">
        <v>99</v>
      </c>
      <c r="D188" s="4" t="s">
        <v>271</v>
      </c>
      <c r="E188" s="4" t="n">
        <v>3</v>
      </c>
      <c r="F188" s="5" t="n">
        <f aca="false">INDEX(Products!$E:$E,MATCH(C188,Products!$A:$A,0))</f>
        <v>13</v>
      </c>
      <c r="G188" s="4" t="str">
        <f aca="false">INDEX(Products!$C:$C,MATCH(C188,Products!$A:$A,0))</f>
        <v>Home &amp; Kitchen</v>
      </c>
      <c r="H188" s="4" t="str">
        <f aca="false">INDEX(Customers!$C:$C,MATCH(D188,Customers!$A:$A,0))</f>
        <v>R03</v>
      </c>
      <c r="I188" s="7" t="n">
        <f aca="false">INDEX(Regions!$C:$C,MATCH(H188,Regions!$A:$A,0))</f>
        <v>0.0625</v>
      </c>
      <c r="J188" s="7" t="n">
        <f aca="false">INDEX(Regions!$D:$D,MATCH(H188,Regions!$A:$A,0))</f>
        <v>0.03</v>
      </c>
      <c r="K188" s="4" t="n">
        <f aca="false">INDEX(Regions!$E:$E,MATCH(H188,Regions!$A:$A,0))</f>
        <v>15</v>
      </c>
      <c r="L188" s="5" t="n">
        <f aca="false">E188*F188</f>
        <v>39</v>
      </c>
      <c r="M188" s="5" t="n">
        <f aca="false">IF(E188&gt;=K188,L188*J188,0)</f>
        <v>0</v>
      </c>
      <c r="N188" s="5" t="n">
        <f aca="false">(L188-M188)*I188</f>
        <v>2.4375</v>
      </c>
      <c r="O188" s="5" t="n">
        <f aca="false">L188-M188+N188</f>
        <v>41.4375</v>
      </c>
    </row>
    <row r="189" customFormat="false" ht="15" hidden="false" customHeight="false" outlineLevel="0" collapsed="false">
      <c r="A189" s="4" t="s">
        <v>528</v>
      </c>
      <c r="B189" s="9" t="n">
        <v>45974</v>
      </c>
      <c r="C189" s="4" t="s">
        <v>49</v>
      </c>
      <c r="D189" s="4" t="s">
        <v>175</v>
      </c>
      <c r="E189" s="4" t="n">
        <v>25</v>
      </c>
      <c r="F189" s="5" t="n">
        <f aca="false">INDEX(Products!$E:$E,MATCH(C189,Products!$A:$A,0))</f>
        <v>229.76</v>
      </c>
      <c r="G189" s="4" t="str">
        <f aca="false">INDEX(Products!$C:$C,MATCH(C189,Products!$A:$A,0))</f>
        <v>Home &amp; Kitchen</v>
      </c>
      <c r="H189" s="4" t="str">
        <f aca="false">INDEX(Customers!$C:$C,MATCH(D189,Customers!$A:$A,0))</f>
        <v>R08</v>
      </c>
      <c r="I189" s="7" t="n">
        <f aca="false">INDEX(Regions!$C:$C,MATCH(H189,Regions!$A:$A,0))</f>
        <v>0.12</v>
      </c>
      <c r="J189" s="7" t="n">
        <f aca="false">INDEX(Regions!$D:$D,MATCH(H189,Regions!$A:$A,0))</f>
        <v>0.04</v>
      </c>
      <c r="K189" s="4" t="n">
        <f aca="false">INDEX(Regions!$E:$E,MATCH(H189,Regions!$A:$A,0))</f>
        <v>12</v>
      </c>
      <c r="L189" s="5" t="n">
        <f aca="false">E189*F189</f>
        <v>5744</v>
      </c>
      <c r="M189" s="5" t="n">
        <f aca="false">IF(E189&gt;=K189,L189*J189,0)</f>
        <v>229.76</v>
      </c>
      <c r="N189" s="5" t="n">
        <f aca="false">(L189-M189)*I189</f>
        <v>661.7088</v>
      </c>
      <c r="O189" s="5" t="n">
        <f aca="false">L189-M189+N189</f>
        <v>6175.9488</v>
      </c>
    </row>
    <row r="190" customFormat="false" ht="15" hidden="false" customHeight="false" outlineLevel="0" collapsed="false">
      <c r="A190" s="4" t="s">
        <v>529</v>
      </c>
      <c r="B190" s="9" t="n">
        <v>45797</v>
      </c>
      <c r="C190" s="4" t="s">
        <v>35</v>
      </c>
      <c r="D190" s="4" t="s">
        <v>286</v>
      </c>
      <c r="E190" s="4" t="n">
        <v>3</v>
      </c>
      <c r="F190" s="5" t="n">
        <f aca="false">INDEX(Products!$E:$E,MATCH(C190,Products!$A:$A,0))</f>
        <v>180.72</v>
      </c>
      <c r="G190" s="4" t="str">
        <f aca="false">INDEX(Products!$C:$C,MATCH(C190,Products!$A:$A,0))</f>
        <v>Apparel</v>
      </c>
      <c r="H190" s="4" t="str">
        <f aca="false">INDEX(Customers!$C:$C,MATCH(D190,Customers!$A:$A,0))</f>
        <v>R02</v>
      </c>
      <c r="I190" s="7" t="n">
        <f aca="false">INDEX(Regions!$C:$C,MATCH(H190,Regions!$A:$A,0))</f>
        <v>0.07</v>
      </c>
      <c r="J190" s="7" t="n">
        <f aca="false">INDEX(Regions!$D:$D,MATCH(H190,Regions!$A:$A,0))</f>
        <v>0.04</v>
      </c>
      <c r="K190" s="4" t="n">
        <f aca="false">INDEX(Regions!$E:$E,MATCH(H190,Regions!$A:$A,0))</f>
        <v>12</v>
      </c>
      <c r="L190" s="5" t="n">
        <f aca="false">E190*F190</f>
        <v>542.16</v>
      </c>
      <c r="M190" s="5" t="n">
        <f aca="false">IF(E190&gt;=K190,L190*J190,0)</f>
        <v>0</v>
      </c>
      <c r="N190" s="5" t="n">
        <f aca="false">(L190-M190)*I190</f>
        <v>37.9512</v>
      </c>
      <c r="O190" s="5" t="n">
        <f aca="false">L190-M190+N190</f>
        <v>580.1112</v>
      </c>
    </row>
    <row r="191" customFormat="false" ht="15" hidden="false" customHeight="false" outlineLevel="0" collapsed="false">
      <c r="A191" s="4" t="s">
        <v>530</v>
      </c>
      <c r="B191" s="9" t="n">
        <v>45906</v>
      </c>
      <c r="C191" s="4" t="s">
        <v>84</v>
      </c>
      <c r="D191" s="4" t="s">
        <v>283</v>
      </c>
      <c r="E191" s="4" t="n">
        <v>14</v>
      </c>
      <c r="F191" s="5" t="n">
        <f aca="false">INDEX(Products!$E:$E,MATCH(C191,Products!$A:$A,0))</f>
        <v>338.07</v>
      </c>
      <c r="G191" s="4" t="str">
        <f aca="false">INDEX(Products!$C:$C,MATCH(C191,Products!$A:$A,0))</f>
        <v>Office Supplies</v>
      </c>
      <c r="H191" s="4" t="str">
        <f aca="false">INDEX(Customers!$C:$C,MATCH(D191,Customers!$A:$A,0))</f>
        <v>R03</v>
      </c>
      <c r="I191" s="7" t="n">
        <f aca="false">INDEX(Regions!$C:$C,MATCH(H191,Regions!$A:$A,0))</f>
        <v>0.0625</v>
      </c>
      <c r="J191" s="7" t="n">
        <f aca="false">INDEX(Regions!$D:$D,MATCH(H191,Regions!$A:$A,0))</f>
        <v>0.03</v>
      </c>
      <c r="K191" s="4" t="n">
        <f aca="false">INDEX(Regions!$E:$E,MATCH(H191,Regions!$A:$A,0))</f>
        <v>15</v>
      </c>
      <c r="L191" s="5" t="n">
        <f aca="false">E191*F191</f>
        <v>4732.98</v>
      </c>
      <c r="M191" s="5" t="n">
        <f aca="false">IF(E191&gt;=K191,L191*J191,0)</f>
        <v>0</v>
      </c>
      <c r="N191" s="5" t="n">
        <f aca="false">(L191-M191)*I191</f>
        <v>295.81125</v>
      </c>
      <c r="O191" s="5" t="n">
        <f aca="false">L191-M191+N191</f>
        <v>5028.79125</v>
      </c>
    </row>
    <row r="192" customFormat="false" ht="15" hidden="false" customHeight="false" outlineLevel="0" collapsed="false">
      <c r="A192" s="4" t="s">
        <v>531</v>
      </c>
      <c r="B192" s="9" t="n">
        <v>45797</v>
      </c>
      <c r="C192" s="4" t="s">
        <v>103</v>
      </c>
      <c r="D192" s="4" t="s">
        <v>240</v>
      </c>
      <c r="E192" s="4" t="n">
        <v>14</v>
      </c>
      <c r="F192" s="5" t="n">
        <f aca="false">INDEX(Products!$E:$E,MATCH(C192,Products!$A:$A,0))</f>
        <v>125.31</v>
      </c>
      <c r="G192" s="4" t="str">
        <f aca="false">INDEX(Products!$C:$C,MATCH(C192,Products!$A:$A,0))</f>
        <v>Home &amp; Kitchen</v>
      </c>
      <c r="H192" s="4" t="str">
        <f aca="false">INDEX(Customers!$C:$C,MATCH(D192,Customers!$A:$A,0))</f>
        <v>R06</v>
      </c>
      <c r="I192" s="7" t="n">
        <f aca="false">INDEX(Regions!$C:$C,MATCH(H192,Regions!$A:$A,0))</f>
        <v>0.06</v>
      </c>
      <c r="J192" s="7" t="n">
        <f aca="false">INDEX(Regions!$D:$D,MATCH(H192,Regions!$A:$A,0))</f>
        <v>0.04</v>
      </c>
      <c r="K192" s="4" t="n">
        <f aca="false">INDEX(Regions!$E:$E,MATCH(H192,Regions!$A:$A,0))</f>
        <v>12</v>
      </c>
      <c r="L192" s="5" t="n">
        <f aca="false">E192*F192</f>
        <v>1754.34</v>
      </c>
      <c r="M192" s="5" t="n">
        <f aca="false">IF(E192&gt;=K192,L192*J192,0)</f>
        <v>70.1736</v>
      </c>
      <c r="N192" s="5" t="n">
        <f aca="false">(L192-M192)*I192</f>
        <v>101.049984</v>
      </c>
      <c r="O192" s="5" t="n">
        <f aca="false">L192-M192+N192</f>
        <v>1785.216384</v>
      </c>
    </row>
    <row r="193" customFormat="false" ht="15" hidden="false" customHeight="false" outlineLevel="0" collapsed="false">
      <c r="A193" s="4" t="s">
        <v>532</v>
      </c>
      <c r="B193" s="9" t="n">
        <v>45716</v>
      </c>
      <c r="C193" s="4" t="s">
        <v>56</v>
      </c>
      <c r="D193" s="4" t="s">
        <v>299</v>
      </c>
      <c r="E193" s="4" t="n">
        <v>17</v>
      </c>
      <c r="F193" s="5" t="n">
        <f aca="false">INDEX(Products!$E:$E,MATCH(C193,Products!$A:$A,0))</f>
        <v>201.42</v>
      </c>
      <c r="G193" s="4" t="str">
        <f aca="false">INDEX(Products!$C:$C,MATCH(C193,Products!$A:$A,0))</f>
        <v>Home &amp; Kitchen</v>
      </c>
      <c r="H193" s="4" t="str">
        <f aca="false">INDEX(Customers!$C:$C,MATCH(D193,Customers!$A:$A,0))</f>
        <v>R05</v>
      </c>
      <c r="I193" s="7" t="n">
        <f aca="false">INDEX(Regions!$C:$C,MATCH(H193,Regions!$A:$A,0))</f>
        <v>0.0925</v>
      </c>
      <c r="J193" s="7" t="n">
        <f aca="false">INDEX(Regions!$D:$D,MATCH(H193,Regions!$A:$A,0))</f>
        <v>0.06</v>
      </c>
      <c r="K193" s="4" t="n">
        <f aca="false">INDEX(Regions!$E:$E,MATCH(H193,Regions!$A:$A,0))</f>
        <v>8</v>
      </c>
      <c r="L193" s="5" t="n">
        <f aca="false">E193*F193</f>
        <v>3424.14</v>
      </c>
      <c r="M193" s="5" t="n">
        <f aca="false">IF(E193&gt;=K193,L193*J193,0)</f>
        <v>205.4484</v>
      </c>
      <c r="N193" s="5" t="n">
        <f aca="false">(L193-M193)*I193</f>
        <v>297.728973</v>
      </c>
      <c r="O193" s="5" t="n">
        <f aca="false">L193-M193+N193</f>
        <v>3516.420573</v>
      </c>
    </row>
    <row r="194" customFormat="false" ht="15" hidden="false" customHeight="false" outlineLevel="0" collapsed="false">
      <c r="A194" s="4" t="s">
        <v>533</v>
      </c>
      <c r="B194" s="9" t="n">
        <v>45803</v>
      </c>
      <c r="C194" s="4" t="s">
        <v>73</v>
      </c>
      <c r="D194" s="4" t="s">
        <v>239</v>
      </c>
      <c r="E194" s="4" t="n">
        <v>4</v>
      </c>
      <c r="F194" s="5" t="n">
        <f aca="false">INDEX(Products!$E:$E,MATCH(C194,Products!$A:$A,0))</f>
        <v>180.28</v>
      </c>
      <c r="G194" s="4" t="str">
        <f aca="false">INDEX(Products!$C:$C,MATCH(C194,Products!$A:$A,0))</f>
        <v>Electronics</v>
      </c>
      <c r="H194" s="4" t="str">
        <f aca="false">INDEX(Customers!$C:$C,MATCH(D194,Customers!$A:$A,0))</f>
        <v>R08</v>
      </c>
      <c r="I194" s="7" t="n">
        <f aca="false">INDEX(Regions!$C:$C,MATCH(H194,Regions!$A:$A,0))</f>
        <v>0.12</v>
      </c>
      <c r="J194" s="7" t="n">
        <f aca="false">INDEX(Regions!$D:$D,MATCH(H194,Regions!$A:$A,0))</f>
        <v>0.04</v>
      </c>
      <c r="K194" s="4" t="n">
        <f aca="false">INDEX(Regions!$E:$E,MATCH(H194,Regions!$A:$A,0))</f>
        <v>12</v>
      </c>
      <c r="L194" s="5" t="n">
        <f aca="false">E194*F194</f>
        <v>721.12</v>
      </c>
      <c r="M194" s="5" t="n">
        <f aca="false">IF(E194&gt;=K194,L194*J194,0)</f>
        <v>0</v>
      </c>
      <c r="N194" s="5" t="n">
        <f aca="false">(L194-M194)*I194</f>
        <v>86.5344</v>
      </c>
      <c r="O194" s="5" t="n">
        <f aca="false">L194-M194+N194</f>
        <v>807.6544</v>
      </c>
    </row>
    <row r="195" customFormat="false" ht="15" hidden="false" customHeight="false" outlineLevel="0" collapsed="false">
      <c r="A195" s="4" t="s">
        <v>534</v>
      </c>
      <c r="B195" s="9" t="n">
        <v>45999</v>
      </c>
      <c r="C195" s="4" t="s">
        <v>101</v>
      </c>
      <c r="D195" s="4" t="s">
        <v>250</v>
      </c>
      <c r="E195" s="4" t="n">
        <v>17</v>
      </c>
      <c r="F195" s="5" t="n">
        <f aca="false">INDEX(Products!$E:$E,MATCH(C195,Products!$A:$A,0))</f>
        <v>468.78</v>
      </c>
      <c r="G195" s="4" t="str">
        <f aca="false">INDEX(Products!$C:$C,MATCH(C195,Products!$A:$A,0))</f>
        <v>Electronics</v>
      </c>
      <c r="H195" s="4" t="str">
        <f aca="false">INDEX(Customers!$C:$C,MATCH(D195,Customers!$A:$A,0))</f>
        <v>R08</v>
      </c>
      <c r="I195" s="7" t="n">
        <f aca="false">INDEX(Regions!$C:$C,MATCH(H195,Regions!$A:$A,0))</f>
        <v>0.12</v>
      </c>
      <c r="J195" s="7" t="n">
        <f aca="false">INDEX(Regions!$D:$D,MATCH(H195,Regions!$A:$A,0))</f>
        <v>0.04</v>
      </c>
      <c r="K195" s="4" t="n">
        <f aca="false">INDEX(Regions!$E:$E,MATCH(H195,Regions!$A:$A,0))</f>
        <v>12</v>
      </c>
      <c r="L195" s="5" t="n">
        <f aca="false">E195*F195</f>
        <v>7969.26</v>
      </c>
      <c r="M195" s="5" t="n">
        <f aca="false">IF(E195&gt;=K195,L195*J195,0)</f>
        <v>318.7704</v>
      </c>
      <c r="N195" s="5" t="n">
        <f aca="false">(L195-M195)*I195</f>
        <v>918.058752</v>
      </c>
      <c r="O195" s="5" t="n">
        <f aca="false">L195-M195+N195</f>
        <v>8568.548352</v>
      </c>
    </row>
    <row r="196" customFormat="false" ht="15" hidden="false" customHeight="false" outlineLevel="0" collapsed="false">
      <c r="A196" s="4" t="s">
        <v>535</v>
      </c>
      <c r="B196" s="9" t="n">
        <v>45860</v>
      </c>
      <c r="C196" s="4" t="s">
        <v>67</v>
      </c>
      <c r="D196" s="4" t="s">
        <v>144</v>
      </c>
      <c r="E196" s="4" t="n">
        <v>8</v>
      </c>
      <c r="F196" s="5" t="n">
        <f aca="false">INDEX(Products!$E:$E,MATCH(C196,Products!$A:$A,0))</f>
        <v>198.43</v>
      </c>
      <c r="G196" s="4" t="str">
        <f aca="false">INDEX(Products!$C:$C,MATCH(C196,Products!$A:$A,0))</f>
        <v>Apparel</v>
      </c>
      <c r="H196" s="4" t="str">
        <f aca="false">INDEX(Customers!$C:$C,MATCH(D196,Customers!$A:$A,0))</f>
        <v>R08</v>
      </c>
      <c r="I196" s="7" t="n">
        <f aca="false">INDEX(Regions!$C:$C,MATCH(H196,Regions!$A:$A,0))</f>
        <v>0.12</v>
      </c>
      <c r="J196" s="7" t="n">
        <f aca="false">INDEX(Regions!$D:$D,MATCH(H196,Regions!$A:$A,0))</f>
        <v>0.04</v>
      </c>
      <c r="K196" s="4" t="n">
        <f aca="false">INDEX(Regions!$E:$E,MATCH(H196,Regions!$A:$A,0))</f>
        <v>12</v>
      </c>
      <c r="L196" s="5" t="n">
        <f aca="false">E196*F196</f>
        <v>1587.44</v>
      </c>
      <c r="M196" s="5" t="n">
        <f aca="false">IF(E196&gt;=K196,L196*J196,0)</f>
        <v>0</v>
      </c>
      <c r="N196" s="5" t="n">
        <f aca="false">(L196-M196)*I196</f>
        <v>190.4928</v>
      </c>
      <c r="O196" s="5" t="n">
        <f aca="false">L196-M196+N196</f>
        <v>1777.9328</v>
      </c>
    </row>
    <row r="197" customFormat="false" ht="15" hidden="false" customHeight="false" outlineLevel="0" collapsed="false">
      <c r="A197" s="4" t="s">
        <v>536</v>
      </c>
      <c r="B197" s="9" t="n">
        <v>45762</v>
      </c>
      <c r="C197" s="4" t="s">
        <v>103</v>
      </c>
      <c r="D197" s="4" t="s">
        <v>149</v>
      </c>
      <c r="E197" s="4" t="n">
        <v>1</v>
      </c>
      <c r="F197" s="5" t="n">
        <f aca="false">INDEX(Products!$E:$E,MATCH(C197,Products!$A:$A,0))</f>
        <v>125.31</v>
      </c>
      <c r="G197" s="4" t="str">
        <f aca="false">INDEX(Products!$C:$C,MATCH(C197,Products!$A:$A,0))</f>
        <v>Home &amp; Kitchen</v>
      </c>
      <c r="H197" s="4" t="str">
        <f aca="false">INDEX(Customers!$C:$C,MATCH(D197,Customers!$A:$A,0))</f>
        <v>R07</v>
      </c>
      <c r="I197" s="7" t="n">
        <f aca="false">INDEX(Regions!$C:$C,MATCH(H197,Regions!$A:$A,0))</f>
        <v>0.15</v>
      </c>
      <c r="J197" s="7" t="n">
        <f aca="false">INDEX(Regions!$D:$D,MATCH(H197,Regions!$A:$A,0))</f>
        <v>0.05</v>
      </c>
      <c r="K197" s="4" t="n">
        <f aca="false">INDEX(Regions!$E:$E,MATCH(H197,Regions!$A:$A,0))</f>
        <v>10</v>
      </c>
      <c r="L197" s="5" t="n">
        <f aca="false">E197*F197</f>
        <v>125.31</v>
      </c>
      <c r="M197" s="5" t="n">
        <f aca="false">IF(E197&gt;=K197,L197*J197,0)</f>
        <v>0</v>
      </c>
      <c r="N197" s="5" t="n">
        <f aca="false">(L197-M197)*I197</f>
        <v>18.7965</v>
      </c>
      <c r="O197" s="5" t="n">
        <f aca="false">L197-M197+N197</f>
        <v>144.1065</v>
      </c>
    </row>
    <row r="198" customFormat="false" ht="15" hidden="false" customHeight="false" outlineLevel="0" collapsed="false">
      <c r="A198" s="4" t="s">
        <v>537</v>
      </c>
      <c r="B198" s="9" t="n">
        <v>45728</v>
      </c>
      <c r="C198" s="4" t="s">
        <v>67</v>
      </c>
      <c r="D198" s="4" t="s">
        <v>187</v>
      </c>
      <c r="E198" s="4" t="n">
        <v>25</v>
      </c>
      <c r="F198" s="5" t="n">
        <f aca="false">INDEX(Products!$E:$E,MATCH(C198,Products!$A:$A,0))</f>
        <v>198.43</v>
      </c>
      <c r="G198" s="4" t="str">
        <f aca="false">INDEX(Products!$C:$C,MATCH(C198,Products!$A:$A,0))</f>
        <v>Apparel</v>
      </c>
      <c r="H198" s="4" t="str">
        <f aca="false">INDEX(Customers!$C:$C,MATCH(D198,Customers!$A:$A,0))</f>
        <v>R04</v>
      </c>
      <c r="I198" s="7" t="n">
        <f aca="false">INDEX(Regions!$C:$C,MATCH(H198,Regions!$A:$A,0))</f>
        <v>0.08</v>
      </c>
      <c r="J198" s="7" t="n">
        <f aca="false">INDEX(Regions!$D:$D,MATCH(H198,Regions!$A:$A,0))</f>
        <v>0.05</v>
      </c>
      <c r="K198" s="4" t="n">
        <f aca="false">INDEX(Regions!$E:$E,MATCH(H198,Regions!$A:$A,0))</f>
        <v>10</v>
      </c>
      <c r="L198" s="5" t="n">
        <f aca="false">E198*F198</f>
        <v>4960.75</v>
      </c>
      <c r="M198" s="5" t="n">
        <f aca="false">IF(E198&gt;=K198,L198*J198,0)</f>
        <v>248.0375</v>
      </c>
      <c r="N198" s="5" t="n">
        <f aca="false">(L198-M198)*I198</f>
        <v>377.017</v>
      </c>
      <c r="O198" s="5" t="n">
        <f aca="false">L198-M198+N198</f>
        <v>5089.7295</v>
      </c>
    </row>
    <row r="199" customFormat="false" ht="15" hidden="false" customHeight="false" outlineLevel="0" collapsed="false">
      <c r="A199" s="4" t="s">
        <v>538</v>
      </c>
      <c r="B199" s="9" t="n">
        <v>45719</v>
      </c>
      <c r="C199" s="4" t="s">
        <v>62</v>
      </c>
      <c r="D199" s="4" t="s">
        <v>206</v>
      </c>
      <c r="E199" s="4" t="n">
        <v>11</v>
      </c>
      <c r="F199" s="5" t="n">
        <f aca="false">INDEX(Products!$E:$E,MATCH(C199,Products!$A:$A,0))</f>
        <v>329.87</v>
      </c>
      <c r="G199" s="4" t="str">
        <f aca="false">INDEX(Products!$C:$C,MATCH(C199,Products!$A:$A,0))</f>
        <v>Electronics</v>
      </c>
      <c r="H199" s="4" t="str">
        <f aca="false">INDEX(Customers!$C:$C,MATCH(D199,Customers!$A:$A,0))</f>
        <v>R07</v>
      </c>
      <c r="I199" s="7" t="n">
        <f aca="false">INDEX(Regions!$C:$C,MATCH(H199,Regions!$A:$A,0))</f>
        <v>0.15</v>
      </c>
      <c r="J199" s="7" t="n">
        <f aca="false">INDEX(Regions!$D:$D,MATCH(H199,Regions!$A:$A,0))</f>
        <v>0.05</v>
      </c>
      <c r="K199" s="4" t="n">
        <f aca="false">INDEX(Regions!$E:$E,MATCH(H199,Regions!$A:$A,0))</f>
        <v>10</v>
      </c>
      <c r="L199" s="5" t="n">
        <f aca="false">E199*F199</f>
        <v>3628.57</v>
      </c>
      <c r="M199" s="5" t="n">
        <f aca="false">IF(E199&gt;=K199,L199*J199,0)</f>
        <v>181.4285</v>
      </c>
      <c r="N199" s="5" t="n">
        <f aca="false">(L199-M199)*I199</f>
        <v>517.071225</v>
      </c>
      <c r="O199" s="5" t="n">
        <f aca="false">L199-M199+N199</f>
        <v>3964.212725</v>
      </c>
    </row>
    <row r="200" customFormat="false" ht="15" hidden="false" customHeight="false" outlineLevel="0" collapsed="false">
      <c r="A200" s="4" t="s">
        <v>539</v>
      </c>
      <c r="B200" s="9" t="n">
        <v>45878</v>
      </c>
      <c r="C200" s="4" t="s">
        <v>26</v>
      </c>
      <c r="D200" s="4" t="s">
        <v>251</v>
      </c>
      <c r="E200" s="4" t="n">
        <v>24</v>
      </c>
      <c r="F200" s="5" t="n">
        <f aca="false">INDEX(Products!$E:$E,MATCH(C200,Products!$A:$A,0))</f>
        <v>89.87</v>
      </c>
      <c r="G200" s="4" t="str">
        <f aca="false">INDEX(Products!$C:$C,MATCH(C200,Products!$A:$A,0))</f>
        <v>Office Supplies</v>
      </c>
      <c r="H200" s="4" t="str">
        <f aca="false">INDEX(Customers!$C:$C,MATCH(D200,Customers!$A:$A,0))</f>
        <v>R03</v>
      </c>
      <c r="I200" s="7" t="n">
        <f aca="false">INDEX(Regions!$C:$C,MATCH(H200,Regions!$A:$A,0))</f>
        <v>0.0625</v>
      </c>
      <c r="J200" s="7" t="n">
        <f aca="false">INDEX(Regions!$D:$D,MATCH(H200,Regions!$A:$A,0))</f>
        <v>0.03</v>
      </c>
      <c r="K200" s="4" t="n">
        <f aca="false">INDEX(Regions!$E:$E,MATCH(H200,Regions!$A:$A,0))</f>
        <v>15</v>
      </c>
      <c r="L200" s="5" t="n">
        <f aca="false">E200*F200</f>
        <v>2156.88</v>
      </c>
      <c r="M200" s="5" t="n">
        <f aca="false">IF(E200&gt;=K200,L200*J200,0)</f>
        <v>64.7064</v>
      </c>
      <c r="N200" s="5" t="n">
        <f aca="false">(L200-M200)*I200</f>
        <v>130.76085</v>
      </c>
      <c r="O200" s="5" t="n">
        <f aca="false">L200-M200+N200</f>
        <v>2222.93445</v>
      </c>
    </row>
    <row r="201" customFormat="false" ht="15" hidden="false" customHeight="false" outlineLevel="0" collapsed="false">
      <c r="A201" s="4" t="s">
        <v>540</v>
      </c>
      <c r="B201" s="9" t="n">
        <v>45930</v>
      </c>
      <c r="C201" s="4" t="s">
        <v>52</v>
      </c>
      <c r="D201" s="4" t="s">
        <v>167</v>
      </c>
      <c r="E201" s="4" t="n">
        <v>13</v>
      </c>
      <c r="F201" s="5" t="n">
        <f aca="false">INDEX(Products!$E:$E,MATCH(C201,Products!$A:$A,0))</f>
        <v>237.1</v>
      </c>
      <c r="G201" s="4" t="str">
        <f aca="false">INDEX(Products!$C:$C,MATCH(C201,Products!$A:$A,0))</f>
        <v>Office Supplies</v>
      </c>
      <c r="H201" s="4" t="str">
        <f aca="false">INDEX(Customers!$C:$C,MATCH(D201,Customers!$A:$A,0))</f>
        <v>R07</v>
      </c>
      <c r="I201" s="7" t="n">
        <f aca="false">INDEX(Regions!$C:$C,MATCH(H201,Regions!$A:$A,0))</f>
        <v>0.15</v>
      </c>
      <c r="J201" s="7" t="n">
        <f aca="false">INDEX(Regions!$D:$D,MATCH(H201,Regions!$A:$A,0))</f>
        <v>0.05</v>
      </c>
      <c r="K201" s="4" t="n">
        <f aca="false">INDEX(Regions!$E:$E,MATCH(H201,Regions!$A:$A,0))</f>
        <v>10</v>
      </c>
      <c r="L201" s="5" t="n">
        <f aca="false">E201*F201</f>
        <v>3082.3</v>
      </c>
      <c r="M201" s="5" t="n">
        <f aca="false">IF(E201&gt;=K201,L201*J201,0)</f>
        <v>154.115</v>
      </c>
      <c r="N201" s="5" t="n">
        <f aca="false">(L201-M201)*I201</f>
        <v>439.22775</v>
      </c>
      <c r="O201" s="5" t="n">
        <f aca="false">L201-M201+N201</f>
        <v>3367.41275</v>
      </c>
    </row>
    <row r="202" customFormat="false" ht="15" hidden="false" customHeight="false" outlineLevel="0" collapsed="false">
      <c r="A202" s="4" t="s">
        <v>541</v>
      </c>
      <c r="B202" s="9" t="n">
        <v>46000</v>
      </c>
      <c r="C202" s="4" t="s">
        <v>58</v>
      </c>
      <c r="D202" s="4" t="s">
        <v>252</v>
      </c>
      <c r="E202" s="4" t="n">
        <v>18</v>
      </c>
      <c r="F202" s="5" t="n">
        <f aca="false">INDEX(Products!$E:$E,MATCH(C202,Products!$A:$A,0))</f>
        <v>459.72</v>
      </c>
      <c r="G202" s="4" t="str">
        <f aca="false">INDEX(Products!$C:$C,MATCH(C202,Products!$A:$A,0))</f>
        <v>Office Supplies</v>
      </c>
      <c r="H202" s="4" t="str">
        <f aca="false">INDEX(Customers!$C:$C,MATCH(D202,Customers!$A:$A,0))</f>
        <v>R06</v>
      </c>
      <c r="I202" s="7" t="n">
        <f aca="false">INDEX(Regions!$C:$C,MATCH(H202,Regions!$A:$A,0))</f>
        <v>0.06</v>
      </c>
      <c r="J202" s="7" t="n">
        <f aca="false">INDEX(Regions!$D:$D,MATCH(H202,Regions!$A:$A,0))</f>
        <v>0.04</v>
      </c>
      <c r="K202" s="4" t="n">
        <f aca="false">INDEX(Regions!$E:$E,MATCH(H202,Regions!$A:$A,0))</f>
        <v>12</v>
      </c>
      <c r="L202" s="5" t="n">
        <f aca="false">E202*F202</f>
        <v>8274.96</v>
      </c>
      <c r="M202" s="5" t="n">
        <f aca="false">IF(E202&gt;=K202,L202*J202,0)</f>
        <v>330.9984</v>
      </c>
      <c r="N202" s="5" t="n">
        <f aca="false">(L202-M202)*I202</f>
        <v>476.637696</v>
      </c>
      <c r="O202" s="5" t="n">
        <f aca="false">L202-M202+N202</f>
        <v>8420.599296</v>
      </c>
    </row>
    <row r="203" customFormat="false" ht="15" hidden="false" customHeight="false" outlineLevel="0" collapsed="false">
      <c r="A203" s="4" t="s">
        <v>542</v>
      </c>
      <c r="B203" s="9" t="n">
        <v>45679</v>
      </c>
      <c r="C203" s="4" t="s">
        <v>73</v>
      </c>
      <c r="D203" s="4" t="s">
        <v>153</v>
      </c>
      <c r="E203" s="4" t="n">
        <v>13</v>
      </c>
      <c r="F203" s="5" t="n">
        <f aca="false">INDEX(Products!$E:$E,MATCH(C203,Products!$A:$A,0))</f>
        <v>180.28</v>
      </c>
      <c r="G203" s="4" t="str">
        <f aca="false">INDEX(Products!$C:$C,MATCH(C203,Products!$A:$A,0))</f>
        <v>Electronics</v>
      </c>
      <c r="H203" s="4" t="str">
        <f aca="false">INDEX(Customers!$C:$C,MATCH(D203,Customers!$A:$A,0))</f>
        <v>R08</v>
      </c>
      <c r="I203" s="7" t="n">
        <f aca="false">INDEX(Regions!$C:$C,MATCH(H203,Regions!$A:$A,0))</f>
        <v>0.12</v>
      </c>
      <c r="J203" s="7" t="n">
        <f aca="false">INDEX(Regions!$D:$D,MATCH(H203,Regions!$A:$A,0))</f>
        <v>0.04</v>
      </c>
      <c r="K203" s="4" t="n">
        <f aca="false">INDEX(Regions!$E:$E,MATCH(H203,Regions!$A:$A,0))</f>
        <v>12</v>
      </c>
      <c r="L203" s="5" t="n">
        <f aca="false">E203*F203</f>
        <v>2343.64</v>
      </c>
      <c r="M203" s="5" t="n">
        <f aca="false">IF(E203&gt;=K203,L203*J203,0)</f>
        <v>93.7456</v>
      </c>
      <c r="N203" s="5" t="n">
        <f aca="false">(L203-M203)*I203</f>
        <v>269.987328</v>
      </c>
      <c r="O203" s="5" t="n">
        <f aca="false">L203-M203+N203</f>
        <v>2519.881728</v>
      </c>
    </row>
    <row r="204" customFormat="false" ht="15" hidden="false" customHeight="false" outlineLevel="0" collapsed="false">
      <c r="A204" s="4" t="s">
        <v>543</v>
      </c>
      <c r="B204" s="9" t="n">
        <v>45697</v>
      </c>
      <c r="C204" s="4" t="s">
        <v>82</v>
      </c>
      <c r="D204" s="4" t="s">
        <v>138</v>
      </c>
      <c r="E204" s="4" t="n">
        <v>15</v>
      </c>
      <c r="F204" s="5" t="n">
        <f aca="false">INDEX(Products!$E:$E,MATCH(C204,Products!$A:$A,0))</f>
        <v>365.87</v>
      </c>
      <c r="G204" s="4" t="str">
        <f aca="false">INDEX(Products!$C:$C,MATCH(C204,Products!$A:$A,0))</f>
        <v>Office Supplies</v>
      </c>
      <c r="H204" s="4" t="str">
        <f aca="false">INDEX(Customers!$C:$C,MATCH(D204,Customers!$A:$A,0))</f>
        <v>R02</v>
      </c>
      <c r="I204" s="7" t="n">
        <f aca="false">INDEX(Regions!$C:$C,MATCH(H204,Regions!$A:$A,0))</f>
        <v>0.07</v>
      </c>
      <c r="J204" s="7" t="n">
        <f aca="false">INDEX(Regions!$D:$D,MATCH(H204,Regions!$A:$A,0))</f>
        <v>0.04</v>
      </c>
      <c r="K204" s="4" t="n">
        <f aca="false">INDEX(Regions!$E:$E,MATCH(H204,Regions!$A:$A,0))</f>
        <v>12</v>
      </c>
      <c r="L204" s="5" t="n">
        <f aca="false">E204*F204</f>
        <v>5488.05</v>
      </c>
      <c r="M204" s="5" t="n">
        <f aca="false">IF(E204&gt;=K204,L204*J204,0)</f>
        <v>219.522</v>
      </c>
      <c r="N204" s="5" t="n">
        <f aca="false">(L204-M204)*I204</f>
        <v>368.79696</v>
      </c>
      <c r="O204" s="5" t="n">
        <f aca="false">L204-M204+N204</f>
        <v>5637.32496</v>
      </c>
    </row>
    <row r="205" customFormat="false" ht="15" hidden="false" customHeight="false" outlineLevel="0" collapsed="false">
      <c r="A205" s="4" t="s">
        <v>544</v>
      </c>
      <c r="B205" s="9" t="n">
        <v>45951</v>
      </c>
      <c r="C205" s="4" t="s">
        <v>69</v>
      </c>
      <c r="D205" s="4" t="s">
        <v>266</v>
      </c>
      <c r="E205" s="4" t="n">
        <v>14</v>
      </c>
      <c r="F205" s="5" t="n">
        <f aca="false">INDEX(Products!$E:$E,MATCH(C205,Products!$A:$A,0))</f>
        <v>173.5</v>
      </c>
      <c r="G205" s="4" t="str">
        <f aca="false">INDEX(Products!$C:$C,MATCH(C205,Products!$A:$A,0))</f>
        <v>Home &amp; Kitchen</v>
      </c>
      <c r="H205" s="4" t="str">
        <f aca="false">INDEX(Customers!$C:$C,MATCH(D205,Customers!$A:$A,0))</f>
        <v>R05</v>
      </c>
      <c r="I205" s="7" t="n">
        <f aca="false">INDEX(Regions!$C:$C,MATCH(H205,Regions!$A:$A,0))</f>
        <v>0.0925</v>
      </c>
      <c r="J205" s="7" t="n">
        <f aca="false">INDEX(Regions!$D:$D,MATCH(H205,Regions!$A:$A,0))</f>
        <v>0.06</v>
      </c>
      <c r="K205" s="4" t="n">
        <f aca="false">INDEX(Regions!$E:$E,MATCH(H205,Regions!$A:$A,0))</f>
        <v>8</v>
      </c>
      <c r="L205" s="5" t="n">
        <f aca="false">E205*F205</f>
        <v>2429</v>
      </c>
      <c r="M205" s="5" t="n">
        <f aca="false">IF(E205&gt;=K205,L205*J205,0)</f>
        <v>145.74</v>
      </c>
      <c r="N205" s="5" t="n">
        <f aca="false">(L205-M205)*I205</f>
        <v>211.20155</v>
      </c>
      <c r="O205" s="5" t="n">
        <f aca="false">L205-M205+N205</f>
        <v>2494.46155</v>
      </c>
    </row>
    <row r="206" customFormat="false" ht="15" hidden="false" customHeight="false" outlineLevel="0" collapsed="false">
      <c r="A206" s="4" t="s">
        <v>545</v>
      </c>
      <c r="B206" s="9" t="n">
        <v>45871</v>
      </c>
      <c r="C206" s="4" t="s">
        <v>79</v>
      </c>
      <c r="D206" s="4" t="s">
        <v>291</v>
      </c>
      <c r="E206" s="4" t="n">
        <v>21</v>
      </c>
      <c r="F206" s="5" t="n">
        <f aca="false">INDEX(Products!$E:$E,MATCH(C206,Products!$A:$A,0))</f>
        <v>53.77</v>
      </c>
      <c r="G206" s="4" t="str">
        <f aca="false">INDEX(Products!$C:$C,MATCH(C206,Products!$A:$A,0))</f>
        <v>Office Supplies</v>
      </c>
      <c r="H206" s="4" t="str">
        <f aca="false">INDEX(Customers!$C:$C,MATCH(D206,Customers!$A:$A,0))</f>
        <v>R02</v>
      </c>
      <c r="I206" s="7" t="n">
        <f aca="false">INDEX(Regions!$C:$C,MATCH(H206,Regions!$A:$A,0))</f>
        <v>0.07</v>
      </c>
      <c r="J206" s="7" t="n">
        <f aca="false">INDEX(Regions!$D:$D,MATCH(H206,Regions!$A:$A,0))</f>
        <v>0.04</v>
      </c>
      <c r="K206" s="4" t="n">
        <f aca="false">INDEX(Regions!$E:$E,MATCH(H206,Regions!$A:$A,0))</f>
        <v>12</v>
      </c>
      <c r="L206" s="5" t="n">
        <f aca="false">E206*F206</f>
        <v>1129.17</v>
      </c>
      <c r="M206" s="5" t="n">
        <f aca="false">IF(E206&gt;=K206,L206*J206,0)</f>
        <v>45.1668</v>
      </c>
      <c r="N206" s="5" t="n">
        <f aca="false">(L206-M206)*I206</f>
        <v>75.880224</v>
      </c>
      <c r="O206" s="5" t="n">
        <f aca="false">L206-M206+N206</f>
        <v>1159.883424</v>
      </c>
    </row>
    <row r="207" customFormat="false" ht="15" hidden="false" customHeight="false" outlineLevel="0" collapsed="false">
      <c r="A207" s="4" t="s">
        <v>546</v>
      </c>
      <c r="B207" s="9" t="n">
        <v>45668</v>
      </c>
      <c r="C207" s="4" t="s">
        <v>66</v>
      </c>
      <c r="D207" s="4" t="s">
        <v>163</v>
      </c>
      <c r="E207" s="4" t="n">
        <v>13</v>
      </c>
      <c r="F207" s="5" t="n">
        <f aca="false">INDEX(Products!$E:$E,MATCH(C207,Products!$A:$A,0))</f>
        <v>55.31</v>
      </c>
      <c r="G207" s="4" t="str">
        <f aca="false">INDEX(Products!$C:$C,MATCH(C207,Products!$A:$A,0))</f>
        <v>Outdoor</v>
      </c>
      <c r="H207" s="4" t="str">
        <f aca="false">INDEX(Customers!$C:$C,MATCH(D207,Customers!$A:$A,0))</f>
        <v>R02</v>
      </c>
      <c r="I207" s="7" t="n">
        <f aca="false">INDEX(Regions!$C:$C,MATCH(H207,Regions!$A:$A,0))</f>
        <v>0.07</v>
      </c>
      <c r="J207" s="7" t="n">
        <f aca="false">INDEX(Regions!$D:$D,MATCH(H207,Regions!$A:$A,0))</f>
        <v>0.04</v>
      </c>
      <c r="K207" s="4" t="n">
        <f aca="false">INDEX(Regions!$E:$E,MATCH(H207,Regions!$A:$A,0))</f>
        <v>12</v>
      </c>
      <c r="L207" s="5" t="n">
        <f aca="false">E207*F207</f>
        <v>719.03</v>
      </c>
      <c r="M207" s="5" t="n">
        <f aca="false">IF(E207&gt;=K207,L207*J207,0)</f>
        <v>28.7612</v>
      </c>
      <c r="N207" s="5" t="n">
        <f aca="false">(L207-M207)*I207</f>
        <v>48.318816</v>
      </c>
      <c r="O207" s="5" t="n">
        <f aca="false">L207-M207+N207</f>
        <v>738.587616</v>
      </c>
    </row>
    <row r="208" customFormat="false" ht="15" hidden="false" customHeight="false" outlineLevel="0" collapsed="false">
      <c r="A208" s="4" t="s">
        <v>547</v>
      </c>
      <c r="B208" s="9" t="n">
        <v>45974</v>
      </c>
      <c r="C208" s="4" t="s">
        <v>69</v>
      </c>
      <c r="D208" s="4" t="s">
        <v>177</v>
      </c>
      <c r="E208" s="4" t="n">
        <v>26</v>
      </c>
      <c r="F208" s="5" t="n">
        <f aca="false">INDEX(Products!$E:$E,MATCH(C208,Products!$A:$A,0))</f>
        <v>173.5</v>
      </c>
      <c r="G208" s="4" t="str">
        <f aca="false">INDEX(Products!$C:$C,MATCH(C208,Products!$A:$A,0))</f>
        <v>Home &amp; Kitchen</v>
      </c>
      <c r="H208" s="4" t="str">
        <f aca="false">INDEX(Customers!$C:$C,MATCH(D208,Customers!$A:$A,0))</f>
        <v>R04</v>
      </c>
      <c r="I208" s="7" t="n">
        <f aca="false">INDEX(Regions!$C:$C,MATCH(H208,Regions!$A:$A,0))</f>
        <v>0.08</v>
      </c>
      <c r="J208" s="7" t="n">
        <f aca="false">INDEX(Regions!$D:$D,MATCH(H208,Regions!$A:$A,0))</f>
        <v>0.05</v>
      </c>
      <c r="K208" s="4" t="n">
        <f aca="false">INDEX(Regions!$E:$E,MATCH(H208,Regions!$A:$A,0))</f>
        <v>10</v>
      </c>
      <c r="L208" s="5" t="n">
        <f aca="false">E208*F208</f>
        <v>4511</v>
      </c>
      <c r="M208" s="5" t="n">
        <f aca="false">IF(E208&gt;=K208,L208*J208,0)</f>
        <v>225.55</v>
      </c>
      <c r="N208" s="5" t="n">
        <f aca="false">(L208-M208)*I208</f>
        <v>342.836</v>
      </c>
      <c r="O208" s="5" t="n">
        <f aca="false">L208-M208+N208</f>
        <v>4628.286</v>
      </c>
    </row>
    <row r="209" customFormat="false" ht="15" hidden="false" customHeight="false" outlineLevel="0" collapsed="false">
      <c r="A209" s="4" t="s">
        <v>548</v>
      </c>
      <c r="B209" s="9" t="n">
        <v>45843</v>
      </c>
      <c r="C209" s="4" t="s">
        <v>86</v>
      </c>
      <c r="D209" s="4" t="s">
        <v>313</v>
      </c>
      <c r="E209" s="4" t="n">
        <v>23</v>
      </c>
      <c r="F209" s="5" t="n">
        <f aca="false">INDEX(Products!$E:$E,MATCH(C209,Products!$A:$A,0))</f>
        <v>169.14</v>
      </c>
      <c r="G209" s="4" t="str">
        <f aca="false">INDEX(Products!$C:$C,MATCH(C209,Products!$A:$A,0))</f>
        <v>Office Supplies</v>
      </c>
      <c r="H209" s="4" t="str">
        <f aca="false">INDEX(Customers!$C:$C,MATCH(D209,Customers!$A:$A,0))</f>
        <v>R06</v>
      </c>
      <c r="I209" s="7" t="n">
        <f aca="false">INDEX(Regions!$C:$C,MATCH(H209,Regions!$A:$A,0))</f>
        <v>0.06</v>
      </c>
      <c r="J209" s="7" t="n">
        <f aca="false">INDEX(Regions!$D:$D,MATCH(H209,Regions!$A:$A,0))</f>
        <v>0.04</v>
      </c>
      <c r="K209" s="4" t="n">
        <f aca="false">INDEX(Regions!$E:$E,MATCH(H209,Regions!$A:$A,0))</f>
        <v>12</v>
      </c>
      <c r="L209" s="5" t="n">
        <f aca="false">E209*F209</f>
        <v>3890.22</v>
      </c>
      <c r="M209" s="5" t="n">
        <f aca="false">IF(E209&gt;=K209,L209*J209,0)</f>
        <v>155.6088</v>
      </c>
      <c r="N209" s="5" t="n">
        <f aca="false">(L209-M209)*I209</f>
        <v>224.076672</v>
      </c>
      <c r="O209" s="5" t="n">
        <f aca="false">L209-M209+N209</f>
        <v>3958.687872</v>
      </c>
    </row>
    <row r="210" customFormat="false" ht="15" hidden="false" customHeight="false" outlineLevel="0" collapsed="false">
      <c r="A210" s="4" t="s">
        <v>549</v>
      </c>
      <c r="B210" s="9" t="n">
        <v>45712</v>
      </c>
      <c r="C210" s="4" t="s">
        <v>40</v>
      </c>
      <c r="D210" s="4" t="s">
        <v>239</v>
      </c>
      <c r="E210" s="4" t="n">
        <v>28</v>
      </c>
      <c r="F210" s="5" t="n">
        <f aca="false">INDEX(Products!$E:$E,MATCH(C210,Products!$A:$A,0))</f>
        <v>93.05</v>
      </c>
      <c r="G210" s="4" t="str">
        <f aca="false">INDEX(Products!$C:$C,MATCH(C210,Products!$A:$A,0))</f>
        <v>Office Supplies</v>
      </c>
      <c r="H210" s="4" t="str">
        <f aca="false">INDEX(Customers!$C:$C,MATCH(D210,Customers!$A:$A,0))</f>
        <v>R08</v>
      </c>
      <c r="I210" s="7" t="n">
        <f aca="false">INDEX(Regions!$C:$C,MATCH(H210,Regions!$A:$A,0))</f>
        <v>0.12</v>
      </c>
      <c r="J210" s="7" t="n">
        <f aca="false">INDEX(Regions!$D:$D,MATCH(H210,Regions!$A:$A,0))</f>
        <v>0.04</v>
      </c>
      <c r="K210" s="4" t="n">
        <f aca="false">INDEX(Regions!$E:$E,MATCH(H210,Regions!$A:$A,0))</f>
        <v>12</v>
      </c>
      <c r="L210" s="5" t="n">
        <f aca="false">E210*F210</f>
        <v>2605.4</v>
      </c>
      <c r="M210" s="5" t="n">
        <f aca="false">IF(E210&gt;=K210,L210*J210,0)</f>
        <v>104.216</v>
      </c>
      <c r="N210" s="5" t="n">
        <f aca="false">(L210-M210)*I210</f>
        <v>300.14208</v>
      </c>
      <c r="O210" s="5" t="n">
        <f aca="false">L210-M210+N210</f>
        <v>2801.32608</v>
      </c>
    </row>
    <row r="211" customFormat="false" ht="15" hidden="false" customHeight="false" outlineLevel="0" collapsed="false">
      <c r="A211" s="4" t="s">
        <v>550</v>
      </c>
      <c r="B211" s="9" t="n">
        <v>45863</v>
      </c>
      <c r="C211" s="4" t="s">
        <v>60</v>
      </c>
      <c r="D211" s="4" t="s">
        <v>239</v>
      </c>
      <c r="E211" s="4" t="n">
        <v>19</v>
      </c>
      <c r="F211" s="5" t="n">
        <f aca="false">INDEX(Products!$E:$E,MATCH(C211,Products!$A:$A,0))</f>
        <v>420.29</v>
      </c>
      <c r="G211" s="4" t="str">
        <f aca="false">INDEX(Products!$C:$C,MATCH(C211,Products!$A:$A,0))</f>
        <v>Office Supplies</v>
      </c>
      <c r="H211" s="4" t="str">
        <f aca="false">INDEX(Customers!$C:$C,MATCH(D211,Customers!$A:$A,0))</f>
        <v>R08</v>
      </c>
      <c r="I211" s="7" t="n">
        <f aca="false">INDEX(Regions!$C:$C,MATCH(H211,Regions!$A:$A,0))</f>
        <v>0.12</v>
      </c>
      <c r="J211" s="7" t="n">
        <f aca="false">INDEX(Regions!$D:$D,MATCH(H211,Regions!$A:$A,0))</f>
        <v>0.04</v>
      </c>
      <c r="K211" s="4" t="n">
        <f aca="false">INDEX(Regions!$E:$E,MATCH(H211,Regions!$A:$A,0))</f>
        <v>12</v>
      </c>
      <c r="L211" s="5" t="n">
        <f aca="false">E211*F211</f>
        <v>7985.51</v>
      </c>
      <c r="M211" s="5" t="n">
        <f aca="false">IF(E211&gt;=K211,L211*J211,0)</f>
        <v>319.4204</v>
      </c>
      <c r="N211" s="5" t="n">
        <f aca="false">(L211-M211)*I211</f>
        <v>919.930752</v>
      </c>
      <c r="O211" s="5" t="n">
        <f aca="false">L211-M211+N211</f>
        <v>8586.020352</v>
      </c>
    </row>
    <row r="212" customFormat="false" ht="15" hidden="false" customHeight="false" outlineLevel="0" collapsed="false">
      <c r="A212" s="4" t="s">
        <v>551</v>
      </c>
      <c r="B212" s="9" t="n">
        <v>45816</v>
      </c>
      <c r="C212" s="4" t="s">
        <v>94</v>
      </c>
      <c r="D212" s="4" t="s">
        <v>155</v>
      </c>
      <c r="E212" s="4" t="n">
        <v>13</v>
      </c>
      <c r="F212" s="5" t="n">
        <f aca="false">INDEX(Products!$E:$E,MATCH(C212,Products!$A:$A,0))</f>
        <v>362.1</v>
      </c>
      <c r="G212" s="4" t="str">
        <f aca="false">INDEX(Products!$C:$C,MATCH(C212,Products!$A:$A,0))</f>
        <v>Apparel</v>
      </c>
      <c r="H212" s="4" t="str">
        <f aca="false">INDEX(Customers!$C:$C,MATCH(D212,Customers!$A:$A,0))</f>
        <v>R08</v>
      </c>
      <c r="I212" s="7" t="n">
        <f aca="false">INDEX(Regions!$C:$C,MATCH(H212,Regions!$A:$A,0))</f>
        <v>0.12</v>
      </c>
      <c r="J212" s="7" t="n">
        <f aca="false">INDEX(Regions!$D:$D,MATCH(H212,Regions!$A:$A,0))</f>
        <v>0.04</v>
      </c>
      <c r="K212" s="4" t="n">
        <f aca="false">INDEX(Regions!$E:$E,MATCH(H212,Regions!$A:$A,0))</f>
        <v>12</v>
      </c>
      <c r="L212" s="5" t="n">
        <f aca="false">E212*F212</f>
        <v>4707.3</v>
      </c>
      <c r="M212" s="5" t="n">
        <f aca="false">IF(E212&gt;=K212,L212*J212,0)</f>
        <v>188.292</v>
      </c>
      <c r="N212" s="5" t="n">
        <f aca="false">(L212-M212)*I212</f>
        <v>542.28096</v>
      </c>
      <c r="O212" s="5" t="n">
        <f aca="false">L212-M212+N212</f>
        <v>5061.28896</v>
      </c>
    </row>
    <row r="213" customFormat="false" ht="15" hidden="false" customHeight="false" outlineLevel="0" collapsed="false">
      <c r="A213" s="4" t="s">
        <v>552</v>
      </c>
      <c r="B213" s="9" t="n">
        <v>45744</v>
      </c>
      <c r="C213" s="4" t="s">
        <v>71</v>
      </c>
      <c r="D213" s="4" t="s">
        <v>189</v>
      </c>
      <c r="E213" s="4" t="n">
        <v>11</v>
      </c>
      <c r="F213" s="5" t="n">
        <f aca="false">INDEX(Products!$E:$E,MATCH(C213,Products!$A:$A,0))</f>
        <v>59.51</v>
      </c>
      <c r="G213" s="4" t="str">
        <f aca="false">INDEX(Products!$C:$C,MATCH(C213,Products!$A:$A,0))</f>
        <v>Electronics</v>
      </c>
      <c r="H213" s="4" t="str">
        <f aca="false">INDEX(Customers!$C:$C,MATCH(D213,Customers!$A:$A,0))</f>
        <v>R08</v>
      </c>
      <c r="I213" s="7" t="n">
        <f aca="false">INDEX(Regions!$C:$C,MATCH(H213,Regions!$A:$A,0))</f>
        <v>0.12</v>
      </c>
      <c r="J213" s="7" t="n">
        <f aca="false">INDEX(Regions!$D:$D,MATCH(H213,Regions!$A:$A,0))</f>
        <v>0.04</v>
      </c>
      <c r="K213" s="4" t="n">
        <f aca="false">INDEX(Regions!$E:$E,MATCH(H213,Regions!$A:$A,0))</f>
        <v>12</v>
      </c>
      <c r="L213" s="5" t="n">
        <f aca="false">E213*F213</f>
        <v>654.61</v>
      </c>
      <c r="M213" s="5" t="n">
        <f aca="false">IF(E213&gt;=K213,L213*J213,0)</f>
        <v>0</v>
      </c>
      <c r="N213" s="5" t="n">
        <f aca="false">(L213-M213)*I213</f>
        <v>78.5532</v>
      </c>
      <c r="O213" s="5" t="n">
        <f aca="false">L213-M213+N213</f>
        <v>733.1632</v>
      </c>
    </row>
    <row r="214" customFormat="false" ht="15" hidden="false" customHeight="false" outlineLevel="0" collapsed="false">
      <c r="A214" s="4" t="s">
        <v>553</v>
      </c>
      <c r="B214" s="9" t="n">
        <v>45716</v>
      </c>
      <c r="C214" s="4" t="s">
        <v>37</v>
      </c>
      <c r="D214" s="4" t="s">
        <v>254</v>
      </c>
      <c r="E214" s="4" t="n">
        <v>21</v>
      </c>
      <c r="F214" s="5" t="n">
        <f aca="false">INDEX(Products!$E:$E,MATCH(C214,Products!$A:$A,0))</f>
        <v>267.59</v>
      </c>
      <c r="G214" s="4" t="str">
        <f aca="false">INDEX(Products!$C:$C,MATCH(C214,Products!$A:$A,0))</f>
        <v>Electronics</v>
      </c>
      <c r="H214" s="4" t="str">
        <f aca="false">INDEX(Customers!$C:$C,MATCH(D214,Customers!$A:$A,0))</f>
        <v>R07</v>
      </c>
      <c r="I214" s="7" t="n">
        <f aca="false">INDEX(Regions!$C:$C,MATCH(H214,Regions!$A:$A,0))</f>
        <v>0.15</v>
      </c>
      <c r="J214" s="7" t="n">
        <f aca="false">INDEX(Regions!$D:$D,MATCH(H214,Regions!$A:$A,0))</f>
        <v>0.05</v>
      </c>
      <c r="K214" s="4" t="n">
        <f aca="false">INDEX(Regions!$E:$E,MATCH(H214,Regions!$A:$A,0))</f>
        <v>10</v>
      </c>
      <c r="L214" s="5" t="n">
        <f aca="false">E214*F214</f>
        <v>5619.39</v>
      </c>
      <c r="M214" s="5" t="n">
        <f aca="false">IF(E214&gt;=K214,L214*J214,0)</f>
        <v>280.9695</v>
      </c>
      <c r="N214" s="5" t="n">
        <f aca="false">(L214-M214)*I214</f>
        <v>800.763075</v>
      </c>
      <c r="O214" s="5" t="n">
        <f aca="false">L214-M214+N214</f>
        <v>6139.183575</v>
      </c>
    </row>
    <row r="215" customFormat="false" ht="15" hidden="false" customHeight="false" outlineLevel="0" collapsed="false">
      <c r="A215" s="4" t="s">
        <v>554</v>
      </c>
      <c r="B215" s="9" t="n">
        <v>45836</v>
      </c>
      <c r="C215" s="4" t="s">
        <v>94</v>
      </c>
      <c r="D215" s="4" t="s">
        <v>254</v>
      </c>
      <c r="E215" s="4" t="n">
        <v>7</v>
      </c>
      <c r="F215" s="5" t="n">
        <f aca="false">INDEX(Products!$E:$E,MATCH(C215,Products!$A:$A,0))</f>
        <v>362.1</v>
      </c>
      <c r="G215" s="4" t="str">
        <f aca="false">INDEX(Products!$C:$C,MATCH(C215,Products!$A:$A,0))</f>
        <v>Apparel</v>
      </c>
      <c r="H215" s="4" t="str">
        <f aca="false">INDEX(Customers!$C:$C,MATCH(D215,Customers!$A:$A,0))</f>
        <v>R07</v>
      </c>
      <c r="I215" s="7" t="n">
        <f aca="false">INDEX(Regions!$C:$C,MATCH(H215,Regions!$A:$A,0))</f>
        <v>0.15</v>
      </c>
      <c r="J215" s="7" t="n">
        <f aca="false">INDEX(Regions!$D:$D,MATCH(H215,Regions!$A:$A,0))</f>
        <v>0.05</v>
      </c>
      <c r="K215" s="4" t="n">
        <f aca="false">INDEX(Regions!$E:$E,MATCH(H215,Regions!$A:$A,0))</f>
        <v>10</v>
      </c>
      <c r="L215" s="5" t="n">
        <f aca="false">E215*F215</f>
        <v>2534.7</v>
      </c>
      <c r="M215" s="5" t="n">
        <f aca="false">IF(E215&gt;=K215,L215*J215,0)</f>
        <v>0</v>
      </c>
      <c r="N215" s="5" t="n">
        <f aca="false">(L215-M215)*I215</f>
        <v>380.205</v>
      </c>
      <c r="O215" s="5" t="n">
        <f aca="false">L215-M215+N215</f>
        <v>2914.905</v>
      </c>
    </row>
    <row r="216" customFormat="false" ht="15" hidden="false" customHeight="false" outlineLevel="0" collapsed="false">
      <c r="A216" s="4" t="s">
        <v>555</v>
      </c>
      <c r="B216" s="9" t="n">
        <v>45988</v>
      </c>
      <c r="C216" s="4" t="s">
        <v>73</v>
      </c>
      <c r="D216" s="4" t="s">
        <v>295</v>
      </c>
      <c r="E216" s="4" t="n">
        <v>27</v>
      </c>
      <c r="F216" s="5" t="n">
        <f aca="false">INDEX(Products!$E:$E,MATCH(C216,Products!$A:$A,0))</f>
        <v>180.28</v>
      </c>
      <c r="G216" s="4" t="str">
        <f aca="false">INDEX(Products!$C:$C,MATCH(C216,Products!$A:$A,0))</f>
        <v>Electronics</v>
      </c>
      <c r="H216" s="4" t="str">
        <f aca="false">INDEX(Customers!$C:$C,MATCH(D216,Customers!$A:$A,0))</f>
        <v>R06</v>
      </c>
      <c r="I216" s="7" t="n">
        <f aca="false">INDEX(Regions!$C:$C,MATCH(H216,Regions!$A:$A,0))</f>
        <v>0.06</v>
      </c>
      <c r="J216" s="7" t="n">
        <f aca="false">INDEX(Regions!$D:$D,MATCH(H216,Regions!$A:$A,0))</f>
        <v>0.04</v>
      </c>
      <c r="K216" s="4" t="n">
        <f aca="false">INDEX(Regions!$E:$E,MATCH(H216,Regions!$A:$A,0))</f>
        <v>12</v>
      </c>
      <c r="L216" s="5" t="n">
        <f aca="false">E216*F216</f>
        <v>4867.56</v>
      </c>
      <c r="M216" s="5" t="n">
        <f aca="false">IF(E216&gt;=K216,L216*J216,0)</f>
        <v>194.7024</v>
      </c>
      <c r="N216" s="5" t="n">
        <f aca="false">(L216-M216)*I216</f>
        <v>280.371456</v>
      </c>
      <c r="O216" s="5" t="n">
        <f aca="false">L216-M216+N216</f>
        <v>4953.229056</v>
      </c>
    </row>
    <row r="217" customFormat="false" ht="15" hidden="false" customHeight="false" outlineLevel="0" collapsed="false">
      <c r="A217" s="4" t="s">
        <v>556</v>
      </c>
      <c r="B217" s="9" t="n">
        <v>45732</v>
      </c>
      <c r="C217" s="4" t="s">
        <v>49</v>
      </c>
      <c r="D217" s="4" t="s">
        <v>193</v>
      </c>
      <c r="E217" s="4" t="n">
        <v>4</v>
      </c>
      <c r="F217" s="5" t="n">
        <f aca="false">INDEX(Products!$E:$E,MATCH(C217,Products!$A:$A,0))</f>
        <v>229.76</v>
      </c>
      <c r="G217" s="4" t="str">
        <f aca="false">INDEX(Products!$C:$C,MATCH(C217,Products!$A:$A,0))</f>
        <v>Home &amp; Kitchen</v>
      </c>
      <c r="H217" s="4" t="str">
        <f aca="false">INDEX(Customers!$C:$C,MATCH(D217,Customers!$A:$A,0))</f>
        <v>R05</v>
      </c>
      <c r="I217" s="7" t="n">
        <f aca="false">INDEX(Regions!$C:$C,MATCH(H217,Regions!$A:$A,0))</f>
        <v>0.0925</v>
      </c>
      <c r="J217" s="7" t="n">
        <f aca="false">INDEX(Regions!$D:$D,MATCH(H217,Regions!$A:$A,0))</f>
        <v>0.06</v>
      </c>
      <c r="K217" s="4" t="n">
        <f aca="false">INDEX(Regions!$E:$E,MATCH(H217,Regions!$A:$A,0))</f>
        <v>8</v>
      </c>
      <c r="L217" s="5" t="n">
        <f aca="false">E217*F217</f>
        <v>919.04</v>
      </c>
      <c r="M217" s="5" t="n">
        <f aca="false">IF(E217&gt;=K217,L217*J217,0)</f>
        <v>0</v>
      </c>
      <c r="N217" s="5" t="n">
        <f aca="false">(L217-M217)*I217</f>
        <v>85.0112</v>
      </c>
      <c r="O217" s="5" t="n">
        <f aca="false">L217-M217+N217</f>
        <v>1004.0512</v>
      </c>
    </row>
    <row r="218" customFormat="false" ht="15" hidden="false" customHeight="false" outlineLevel="0" collapsed="false">
      <c r="A218" s="4" t="s">
        <v>557</v>
      </c>
      <c r="B218" s="9" t="n">
        <v>45966</v>
      </c>
      <c r="C218" s="4" t="s">
        <v>62</v>
      </c>
      <c r="D218" s="4" t="s">
        <v>183</v>
      </c>
      <c r="E218" s="4" t="n">
        <v>6</v>
      </c>
      <c r="F218" s="5" t="n">
        <f aca="false">INDEX(Products!$E:$E,MATCH(C218,Products!$A:$A,0))</f>
        <v>329.87</v>
      </c>
      <c r="G218" s="4" t="str">
        <f aca="false">INDEX(Products!$C:$C,MATCH(C218,Products!$A:$A,0))</f>
        <v>Electronics</v>
      </c>
      <c r="H218" s="4" t="str">
        <f aca="false">INDEX(Customers!$C:$C,MATCH(D218,Customers!$A:$A,0))</f>
        <v>R03</v>
      </c>
      <c r="I218" s="7" t="n">
        <f aca="false">INDEX(Regions!$C:$C,MATCH(H218,Regions!$A:$A,0))</f>
        <v>0.0625</v>
      </c>
      <c r="J218" s="7" t="n">
        <f aca="false">INDEX(Regions!$D:$D,MATCH(H218,Regions!$A:$A,0))</f>
        <v>0.03</v>
      </c>
      <c r="K218" s="4" t="n">
        <f aca="false">INDEX(Regions!$E:$E,MATCH(H218,Regions!$A:$A,0))</f>
        <v>15</v>
      </c>
      <c r="L218" s="5" t="n">
        <f aca="false">E218*F218</f>
        <v>1979.22</v>
      </c>
      <c r="M218" s="5" t="n">
        <f aca="false">IF(E218&gt;=K218,L218*J218,0)</f>
        <v>0</v>
      </c>
      <c r="N218" s="5" t="n">
        <f aca="false">(L218-M218)*I218</f>
        <v>123.70125</v>
      </c>
      <c r="O218" s="5" t="n">
        <f aca="false">L218-M218+N218</f>
        <v>2102.92125</v>
      </c>
    </row>
    <row r="219" customFormat="false" ht="15" hidden="false" customHeight="false" outlineLevel="0" collapsed="false">
      <c r="A219" s="4" t="s">
        <v>558</v>
      </c>
      <c r="B219" s="9" t="n">
        <v>45993</v>
      </c>
      <c r="C219" s="4" t="s">
        <v>49</v>
      </c>
      <c r="D219" s="4" t="s">
        <v>301</v>
      </c>
      <c r="E219" s="4" t="n">
        <v>25</v>
      </c>
      <c r="F219" s="5" t="n">
        <f aca="false">INDEX(Products!$E:$E,MATCH(C219,Products!$A:$A,0))</f>
        <v>229.76</v>
      </c>
      <c r="G219" s="4" t="str">
        <f aca="false">INDEX(Products!$C:$C,MATCH(C219,Products!$A:$A,0))</f>
        <v>Home &amp; Kitchen</v>
      </c>
      <c r="H219" s="4" t="str">
        <f aca="false">INDEX(Customers!$C:$C,MATCH(D219,Customers!$A:$A,0))</f>
        <v>R08</v>
      </c>
      <c r="I219" s="7" t="n">
        <f aca="false">INDEX(Regions!$C:$C,MATCH(H219,Regions!$A:$A,0))</f>
        <v>0.12</v>
      </c>
      <c r="J219" s="7" t="n">
        <f aca="false">INDEX(Regions!$D:$D,MATCH(H219,Regions!$A:$A,0))</f>
        <v>0.04</v>
      </c>
      <c r="K219" s="4" t="n">
        <f aca="false">INDEX(Regions!$E:$E,MATCH(H219,Regions!$A:$A,0))</f>
        <v>12</v>
      </c>
      <c r="L219" s="5" t="n">
        <f aca="false">E219*F219</f>
        <v>5744</v>
      </c>
      <c r="M219" s="5" t="n">
        <f aca="false">IF(E219&gt;=K219,L219*J219,0)</f>
        <v>229.76</v>
      </c>
      <c r="N219" s="5" t="n">
        <f aca="false">(L219-M219)*I219</f>
        <v>661.7088</v>
      </c>
      <c r="O219" s="5" t="n">
        <f aca="false">L219-M219+N219</f>
        <v>6175.9488</v>
      </c>
    </row>
    <row r="220" customFormat="false" ht="15" hidden="false" customHeight="false" outlineLevel="0" collapsed="false">
      <c r="A220" s="4" t="s">
        <v>559</v>
      </c>
      <c r="B220" s="9" t="n">
        <v>45979</v>
      </c>
      <c r="C220" s="4" t="s">
        <v>37</v>
      </c>
      <c r="D220" s="4" t="s">
        <v>179</v>
      </c>
      <c r="E220" s="4" t="n">
        <v>25</v>
      </c>
      <c r="F220" s="5" t="n">
        <f aca="false">INDEX(Products!$E:$E,MATCH(C220,Products!$A:$A,0))</f>
        <v>267.59</v>
      </c>
      <c r="G220" s="4" t="str">
        <f aca="false">INDEX(Products!$C:$C,MATCH(C220,Products!$A:$A,0))</f>
        <v>Electronics</v>
      </c>
      <c r="H220" s="4" t="str">
        <f aca="false">INDEX(Customers!$C:$C,MATCH(D220,Customers!$A:$A,0))</f>
        <v>R04</v>
      </c>
      <c r="I220" s="7" t="n">
        <f aca="false">INDEX(Regions!$C:$C,MATCH(H220,Regions!$A:$A,0))</f>
        <v>0.08</v>
      </c>
      <c r="J220" s="7" t="n">
        <f aca="false">INDEX(Regions!$D:$D,MATCH(H220,Regions!$A:$A,0))</f>
        <v>0.05</v>
      </c>
      <c r="K220" s="4" t="n">
        <f aca="false">INDEX(Regions!$E:$E,MATCH(H220,Regions!$A:$A,0))</f>
        <v>10</v>
      </c>
      <c r="L220" s="5" t="n">
        <f aca="false">E220*F220</f>
        <v>6689.75</v>
      </c>
      <c r="M220" s="5" t="n">
        <f aca="false">IF(E220&gt;=K220,L220*J220,0)</f>
        <v>334.4875</v>
      </c>
      <c r="N220" s="5" t="n">
        <f aca="false">(L220-M220)*I220</f>
        <v>508.421</v>
      </c>
      <c r="O220" s="5" t="n">
        <f aca="false">L220-M220+N220</f>
        <v>6863.6835</v>
      </c>
    </row>
    <row r="221" customFormat="false" ht="15" hidden="false" customHeight="false" outlineLevel="0" collapsed="false">
      <c r="A221" s="4" t="s">
        <v>560</v>
      </c>
      <c r="B221" s="9" t="n">
        <v>45946</v>
      </c>
      <c r="C221" s="4" t="s">
        <v>90</v>
      </c>
      <c r="D221" s="4" t="s">
        <v>244</v>
      </c>
      <c r="E221" s="4" t="n">
        <v>25</v>
      </c>
      <c r="F221" s="5" t="n">
        <f aca="false">INDEX(Products!$E:$E,MATCH(C221,Products!$A:$A,0))</f>
        <v>446.56</v>
      </c>
      <c r="G221" s="4" t="str">
        <f aca="false">INDEX(Products!$C:$C,MATCH(C221,Products!$A:$A,0))</f>
        <v>Outdoor</v>
      </c>
      <c r="H221" s="4" t="str">
        <f aca="false">INDEX(Customers!$C:$C,MATCH(D221,Customers!$A:$A,0))</f>
        <v>R07</v>
      </c>
      <c r="I221" s="7" t="n">
        <f aca="false">INDEX(Regions!$C:$C,MATCH(H221,Regions!$A:$A,0))</f>
        <v>0.15</v>
      </c>
      <c r="J221" s="7" t="n">
        <f aca="false">INDEX(Regions!$D:$D,MATCH(H221,Regions!$A:$A,0))</f>
        <v>0.05</v>
      </c>
      <c r="K221" s="4" t="n">
        <f aca="false">INDEX(Regions!$E:$E,MATCH(H221,Regions!$A:$A,0))</f>
        <v>10</v>
      </c>
      <c r="L221" s="5" t="n">
        <f aca="false">E221*F221</f>
        <v>11164</v>
      </c>
      <c r="M221" s="5" t="n">
        <f aca="false">IF(E221&gt;=K221,L221*J221,0)</f>
        <v>558.2</v>
      </c>
      <c r="N221" s="5" t="n">
        <f aca="false">(L221-M221)*I221</f>
        <v>1590.87</v>
      </c>
      <c r="O221" s="5" t="n">
        <f aca="false">L221-M221+N221</f>
        <v>12196.67</v>
      </c>
    </row>
    <row r="222" customFormat="false" ht="15" hidden="false" customHeight="false" outlineLevel="0" collapsed="false">
      <c r="A222" s="4" t="s">
        <v>561</v>
      </c>
      <c r="B222" s="9" t="n">
        <v>45947</v>
      </c>
      <c r="C222" s="4" t="s">
        <v>101</v>
      </c>
      <c r="D222" s="4" t="s">
        <v>241</v>
      </c>
      <c r="E222" s="4" t="n">
        <v>22</v>
      </c>
      <c r="F222" s="5" t="n">
        <f aca="false">INDEX(Products!$E:$E,MATCH(C222,Products!$A:$A,0))</f>
        <v>468.78</v>
      </c>
      <c r="G222" s="4" t="str">
        <f aca="false">INDEX(Products!$C:$C,MATCH(C222,Products!$A:$A,0))</f>
        <v>Electronics</v>
      </c>
      <c r="H222" s="4" t="str">
        <f aca="false">INDEX(Customers!$C:$C,MATCH(D222,Customers!$A:$A,0))</f>
        <v>R04</v>
      </c>
      <c r="I222" s="7" t="n">
        <f aca="false">INDEX(Regions!$C:$C,MATCH(H222,Regions!$A:$A,0))</f>
        <v>0.08</v>
      </c>
      <c r="J222" s="7" t="n">
        <f aca="false">INDEX(Regions!$D:$D,MATCH(H222,Regions!$A:$A,0))</f>
        <v>0.05</v>
      </c>
      <c r="K222" s="4" t="n">
        <f aca="false">INDEX(Regions!$E:$E,MATCH(H222,Regions!$A:$A,0))</f>
        <v>10</v>
      </c>
      <c r="L222" s="5" t="n">
        <f aca="false">E222*F222</f>
        <v>10313.16</v>
      </c>
      <c r="M222" s="5" t="n">
        <f aca="false">IF(E222&gt;=K222,L222*J222,0)</f>
        <v>515.658</v>
      </c>
      <c r="N222" s="5" t="n">
        <f aca="false">(L222-M222)*I222</f>
        <v>783.80016</v>
      </c>
      <c r="O222" s="5" t="n">
        <f aca="false">L222-M222+N222</f>
        <v>10581.30216</v>
      </c>
    </row>
    <row r="223" customFormat="false" ht="15" hidden="false" customHeight="false" outlineLevel="0" collapsed="false">
      <c r="A223" s="4" t="s">
        <v>562</v>
      </c>
      <c r="B223" s="9" t="n">
        <v>45979</v>
      </c>
      <c r="C223" s="4" t="s">
        <v>105</v>
      </c>
      <c r="D223" s="4" t="s">
        <v>214</v>
      </c>
      <c r="E223" s="4" t="n">
        <v>28</v>
      </c>
      <c r="F223" s="5" t="n">
        <f aca="false">INDEX(Products!$E:$E,MATCH(C223,Products!$A:$A,0))</f>
        <v>216.46</v>
      </c>
      <c r="G223" s="4" t="str">
        <f aca="false">INDEX(Products!$C:$C,MATCH(C223,Products!$A:$A,0))</f>
        <v>Apparel</v>
      </c>
      <c r="H223" s="4" t="str">
        <f aca="false">INDEX(Customers!$C:$C,MATCH(D223,Customers!$A:$A,0))</f>
        <v>R07</v>
      </c>
      <c r="I223" s="7" t="n">
        <f aca="false">INDEX(Regions!$C:$C,MATCH(H223,Regions!$A:$A,0))</f>
        <v>0.15</v>
      </c>
      <c r="J223" s="7" t="n">
        <f aca="false">INDEX(Regions!$D:$D,MATCH(H223,Regions!$A:$A,0))</f>
        <v>0.05</v>
      </c>
      <c r="K223" s="4" t="n">
        <f aca="false">INDEX(Regions!$E:$E,MATCH(H223,Regions!$A:$A,0))</f>
        <v>10</v>
      </c>
      <c r="L223" s="5" t="n">
        <f aca="false">E223*F223</f>
        <v>6060.88</v>
      </c>
      <c r="M223" s="5" t="n">
        <f aca="false">IF(E223&gt;=K223,L223*J223,0)</f>
        <v>303.044</v>
      </c>
      <c r="N223" s="5" t="n">
        <f aca="false">(L223-M223)*I223</f>
        <v>863.6754</v>
      </c>
      <c r="O223" s="5" t="n">
        <f aca="false">L223-M223+N223</f>
        <v>6621.5114</v>
      </c>
    </row>
    <row r="224" customFormat="false" ht="15" hidden="false" customHeight="false" outlineLevel="0" collapsed="false">
      <c r="A224" s="4" t="s">
        <v>563</v>
      </c>
      <c r="B224" s="9" t="n">
        <v>45692</v>
      </c>
      <c r="C224" s="4" t="s">
        <v>69</v>
      </c>
      <c r="D224" s="4" t="s">
        <v>173</v>
      </c>
      <c r="E224" s="4" t="n">
        <v>15</v>
      </c>
      <c r="F224" s="5" t="n">
        <f aca="false">INDEX(Products!$E:$E,MATCH(C224,Products!$A:$A,0))</f>
        <v>173.5</v>
      </c>
      <c r="G224" s="4" t="str">
        <f aca="false">INDEX(Products!$C:$C,MATCH(C224,Products!$A:$A,0))</f>
        <v>Home &amp; Kitchen</v>
      </c>
      <c r="H224" s="4" t="str">
        <f aca="false">INDEX(Customers!$C:$C,MATCH(D224,Customers!$A:$A,0))</f>
        <v>R08</v>
      </c>
      <c r="I224" s="7" t="n">
        <f aca="false">INDEX(Regions!$C:$C,MATCH(H224,Regions!$A:$A,0))</f>
        <v>0.12</v>
      </c>
      <c r="J224" s="7" t="n">
        <f aca="false">INDEX(Regions!$D:$D,MATCH(H224,Regions!$A:$A,0))</f>
        <v>0.04</v>
      </c>
      <c r="K224" s="4" t="n">
        <f aca="false">INDEX(Regions!$E:$E,MATCH(H224,Regions!$A:$A,0))</f>
        <v>12</v>
      </c>
      <c r="L224" s="5" t="n">
        <f aca="false">E224*F224</f>
        <v>2602.5</v>
      </c>
      <c r="M224" s="5" t="n">
        <f aca="false">IF(E224&gt;=K224,L224*J224,0)</f>
        <v>104.1</v>
      </c>
      <c r="N224" s="5" t="n">
        <f aca="false">(L224-M224)*I224</f>
        <v>299.808</v>
      </c>
      <c r="O224" s="5" t="n">
        <f aca="false">L224-M224+N224</f>
        <v>2798.208</v>
      </c>
    </row>
    <row r="225" customFormat="false" ht="15" hidden="false" customHeight="false" outlineLevel="0" collapsed="false">
      <c r="A225" s="4" t="s">
        <v>564</v>
      </c>
      <c r="B225" s="9" t="n">
        <v>45813</v>
      </c>
      <c r="C225" s="4" t="s">
        <v>88</v>
      </c>
      <c r="D225" s="4" t="s">
        <v>240</v>
      </c>
      <c r="E225" s="4" t="n">
        <v>21</v>
      </c>
      <c r="F225" s="5" t="n">
        <f aca="false">INDEX(Products!$E:$E,MATCH(C225,Products!$A:$A,0))</f>
        <v>94.16</v>
      </c>
      <c r="G225" s="4" t="str">
        <f aca="false">INDEX(Products!$C:$C,MATCH(C225,Products!$A:$A,0))</f>
        <v>Office Supplies</v>
      </c>
      <c r="H225" s="4" t="str">
        <f aca="false">INDEX(Customers!$C:$C,MATCH(D225,Customers!$A:$A,0))</f>
        <v>R06</v>
      </c>
      <c r="I225" s="7" t="n">
        <f aca="false">INDEX(Regions!$C:$C,MATCH(H225,Regions!$A:$A,0))</f>
        <v>0.06</v>
      </c>
      <c r="J225" s="7" t="n">
        <f aca="false">INDEX(Regions!$D:$D,MATCH(H225,Regions!$A:$A,0))</f>
        <v>0.04</v>
      </c>
      <c r="K225" s="4" t="n">
        <f aca="false">INDEX(Regions!$E:$E,MATCH(H225,Regions!$A:$A,0))</f>
        <v>12</v>
      </c>
      <c r="L225" s="5" t="n">
        <f aca="false">E225*F225</f>
        <v>1977.36</v>
      </c>
      <c r="M225" s="5" t="n">
        <f aca="false">IF(E225&gt;=K225,L225*J225,0)</f>
        <v>79.0944</v>
      </c>
      <c r="N225" s="5" t="n">
        <f aca="false">(L225-M225)*I225</f>
        <v>113.895936</v>
      </c>
      <c r="O225" s="5" t="n">
        <f aca="false">L225-M225+N225</f>
        <v>2012.161536</v>
      </c>
    </row>
    <row r="226" customFormat="false" ht="15" hidden="false" customHeight="false" outlineLevel="0" collapsed="false">
      <c r="A226" s="4" t="s">
        <v>565</v>
      </c>
      <c r="B226" s="9" t="n">
        <v>45838</v>
      </c>
      <c r="C226" s="4" t="s">
        <v>64</v>
      </c>
      <c r="D226" s="4" t="s">
        <v>269</v>
      </c>
      <c r="E226" s="4" t="n">
        <v>2</v>
      </c>
      <c r="F226" s="5" t="n">
        <f aca="false">INDEX(Products!$E:$E,MATCH(C226,Products!$A:$A,0))</f>
        <v>340.32</v>
      </c>
      <c r="G226" s="4" t="str">
        <f aca="false">INDEX(Products!$C:$C,MATCH(C226,Products!$A:$A,0))</f>
        <v>Apparel</v>
      </c>
      <c r="H226" s="4" t="str">
        <f aca="false">INDEX(Customers!$C:$C,MATCH(D226,Customers!$A:$A,0))</f>
        <v>R01</v>
      </c>
      <c r="I226" s="7" t="n">
        <f aca="false">INDEX(Regions!$C:$C,MATCH(H226,Regions!$A:$A,0))</f>
        <v>0.0825</v>
      </c>
      <c r="J226" s="7" t="n">
        <f aca="false">INDEX(Regions!$D:$D,MATCH(H226,Regions!$A:$A,0))</f>
        <v>0.05</v>
      </c>
      <c r="K226" s="4" t="n">
        <f aca="false">INDEX(Regions!$E:$E,MATCH(H226,Regions!$A:$A,0))</f>
        <v>10</v>
      </c>
      <c r="L226" s="5" t="n">
        <f aca="false">E226*F226</f>
        <v>680.64</v>
      </c>
      <c r="M226" s="5" t="n">
        <f aca="false">IF(E226&gt;=K226,L226*J226,0)</f>
        <v>0</v>
      </c>
      <c r="N226" s="5" t="n">
        <f aca="false">(L226-M226)*I226</f>
        <v>56.1528</v>
      </c>
      <c r="O226" s="5" t="n">
        <f aca="false">L226-M226+N226</f>
        <v>736.7928</v>
      </c>
    </row>
    <row r="227" customFormat="false" ht="15" hidden="false" customHeight="false" outlineLevel="0" collapsed="false">
      <c r="A227" s="4" t="s">
        <v>566</v>
      </c>
      <c r="B227" s="9" t="n">
        <v>45894</v>
      </c>
      <c r="C227" s="4" t="s">
        <v>92</v>
      </c>
      <c r="D227" s="4" t="s">
        <v>153</v>
      </c>
      <c r="E227" s="4" t="n">
        <v>10</v>
      </c>
      <c r="F227" s="5" t="n">
        <f aca="false">INDEX(Products!$E:$E,MATCH(C227,Products!$A:$A,0))</f>
        <v>333.4</v>
      </c>
      <c r="G227" s="4" t="str">
        <f aca="false">INDEX(Products!$C:$C,MATCH(C227,Products!$A:$A,0))</f>
        <v>Outdoor</v>
      </c>
      <c r="H227" s="4" t="str">
        <f aca="false">INDEX(Customers!$C:$C,MATCH(D227,Customers!$A:$A,0))</f>
        <v>R08</v>
      </c>
      <c r="I227" s="7" t="n">
        <f aca="false">INDEX(Regions!$C:$C,MATCH(H227,Regions!$A:$A,0))</f>
        <v>0.12</v>
      </c>
      <c r="J227" s="7" t="n">
        <f aca="false">INDEX(Regions!$D:$D,MATCH(H227,Regions!$A:$A,0))</f>
        <v>0.04</v>
      </c>
      <c r="K227" s="4" t="n">
        <f aca="false">INDEX(Regions!$E:$E,MATCH(H227,Regions!$A:$A,0))</f>
        <v>12</v>
      </c>
      <c r="L227" s="5" t="n">
        <f aca="false">E227*F227</f>
        <v>3334</v>
      </c>
      <c r="M227" s="5" t="n">
        <f aca="false">IF(E227&gt;=K227,L227*J227,0)</f>
        <v>0</v>
      </c>
      <c r="N227" s="5" t="n">
        <f aca="false">(L227-M227)*I227</f>
        <v>400.08</v>
      </c>
      <c r="O227" s="5" t="n">
        <f aca="false">L227-M227+N227</f>
        <v>3734.08</v>
      </c>
    </row>
    <row r="228" customFormat="false" ht="15" hidden="false" customHeight="false" outlineLevel="0" collapsed="false">
      <c r="A228" s="4" t="s">
        <v>567</v>
      </c>
      <c r="B228" s="9" t="n">
        <v>45846</v>
      </c>
      <c r="C228" s="4" t="s">
        <v>84</v>
      </c>
      <c r="D228" s="4" t="s">
        <v>142</v>
      </c>
      <c r="E228" s="4" t="n">
        <v>2</v>
      </c>
      <c r="F228" s="5" t="n">
        <f aca="false">INDEX(Products!$E:$E,MATCH(C228,Products!$A:$A,0))</f>
        <v>338.07</v>
      </c>
      <c r="G228" s="4" t="str">
        <f aca="false">INDEX(Products!$C:$C,MATCH(C228,Products!$A:$A,0))</f>
        <v>Office Supplies</v>
      </c>
      <c r="H228" s="4" t="str">
        <f aca="false">INDEX(Customers!$C:$C,MATCH(D228,Customers!$A:$A,0))</f>
        <v>R07</v>
      </c>
      <c r="I228" s="7" t="n">
        <f aca="false">INDEX(Regions!$C:$C,MATCH(H228,Regions!$A:$A,0))</f>
        <v>0.15</v>
      </c>
      <c r="J228" s="7" t="n">
        <f aca="false">INDEX(Regions!$D:$D,MATCH(H228,Regions!$A:$A,0))</f>
        <v>0.05</v>
      </c>
      <c r="K228" s="4" t="n">
        <f aca="false">INDEX(Regions!$E:$E,MATCH(H228,Regions!$A:$A,0))</f>
        <v>10</v>
      </c>
      <c r="L228" s="5" t="n">
        <f aca="false">E228*F228</f>
        <v>676.14</v>
      </c>
      <c r="M228" s="5" t="n">
        <f aca="false">IF(E228&gt;=K228,L228*J228,0)</f>
        <v>0</v>
      </c>
      <c r="N228" s="5" t="n">
        <f aca="false">(L228-M228)*I228</f>
        <v>101.421</v>
      </c>
      <c r="O228" s="5" t="n">
        <f aca="false">L228-M228+N228</f>
        <v>777.561</v>
      </c>
    </row>
    <row r="229" customFormat="false" ht="15" hidden="false" customHeight="false" outlineLevel="0" collapsed="false">
      <c r="A229" s="4" t="s">
        <v>568</v>
      </c>
      <c r="B229" s="9" t="n">
        <v>45704</v>
      </c>
      <c r="C229" s="4" t="s">
        <v>66</v>
      </c>
      <c r="D229" s="4" t="s">
        <v>153</v>
      </c>
      <c r="E229" s="4" t="n">
        <v>21</v>
      </c>
      <c r="F229" s="5" t="n">
        <f aca="false">INDEX(Products!$E:$E,MATCH(C229,Products!$A:$A,0))</f>
        <v>55.31</v>
      </c>
      <c r="G229" s="4" t="str">
        <f aca="false">INDEX(Products!$C:$C,MATCH(C229,Products!$A:$A,0))</f>
        <v>Outdoor</v>
      </c>
      <c r="H229" s="4" t="str">
        <f aca="false">INDEX(Customers!$C:$C,MATCH(D229,Customers!$A:$A,0))</f>
        <v>R08</v>
      </c>
      <c r="I229" s="7" t="n">
        <f aca="false">INDEX(Regions!$C:$C,MATCH(H229,Regions!$A:$A,0))</f>
        <v>0.12</v>
      </c>
      <c r="J229" s="7" t="n">
        <f aca="false">INDEX(Regions!$D:$D,MATCH(H229,Regions!$A:$A,0))</f>
        <v>0.04</v>
      </c>
      <c r="K229" s="4" t="n">
        <f aca="false">INDEX(Regions!$E:$E,MATCH(H229,Regions!$A:$A,0))</f>
        <v>12</v>
      </c>
      <c r="L229" s="5" t="n">
        <f aca="false">E229*F229</f>
        <v>1161.51</v>
      </c>
      <c r="M229" s="5" t="n">
        <f aca="false">IF(E229&gt;=K229,L229*J229,0)</f>
        <v>46.4604</v>
      </c>
      <c r="N229" s="5" t="n">
        <f aca="false">(L229-M229)*I229</f>
        <v>133.805952</v>
      </c>
      <c r="O229" s="5" t="n">
        <f aca="false">L229-M229+N229</f>
        <v>1248.855552</v>
      </c>
    </row>
    <row r="230" customFormat="false" ht="15" hidden="false" customHeight="false" outlineLevel="0" collapsed="false">
      <c r="A230" s="4" t="s">
        <v>569</v>
      </c>
      <c r="B230" s="9" t="n">
        <v>45854</v>
      </c>
      <c r="C230" s="4" t="s">
        <v>105</v>
      </c>
      <c r="D230" s="4" t="s">
        <v>271</v>
      </c>
      <c r="E230" s="4" t="n">
        <v>17</v>
      </c>
      <c r="F230" s="5" t="n">
        <f aca="false">INDEX(Products!$E:$E,MATCH(C230,Products!$A:$A,0))</f>
        <v>216.46</v>
      </c>
      <c r="G230" s="4" t="str">
        <f aca="false">INDEX(Products!$C:$C,MATCH(C230,Products!$A:$A,0))</f>
        <v>Apparel</v>
      </c>
      <c r="H230" s="4" t="str">
        <f aca="false">INDEX(Customers!$C:$C,MATCH(D230,Customers!$A:$A,0))</f>
        <v>R03</v>
      </c>
      <c r="I230" s="7" t="n">
        <f aca="false">INDEX(Regions!$C:$C,MATCH(H230,Regions!$A:$A,0))</f>
        <v>0.0625</v>
      </c>
      <c r="J230" s="7" t="n">
        <f aca="false">INDEX(Regions!$D:$D,MATCH(H230,Regions!$A:$A,0))</f>
        <v>0.03</v>
      </c>
      <c r="K230" s="4" t="n">
        <f aca="false">INDEX(Regions!$E:$E,MATCH(H230,Regions!$A:$A,0))</f>
        <v>15</v>
      </c>
      <c r="L230" s="5" t="n">
        <f aca="false">E230*F230</f>
        <v>3679.82</v>
      </c>
      <c r="M230" s="5" t="n">
        <f aca="false">IF(E230&gt;=K230,L230*J230,0)</f>
        <v>110.3946</v>
      </c>
      <c r="N230" s="5" t="n">
        <f aca="false">(L230-M230)*I230</f>
        <v>223.0890875</v>
      </c>
      <c r="O230" s="5" t="n">
        <f aca="false">L230-M230+N230</f>
        <v>3792.5144875</v>
      </c>
    </row>
    <row r="231" customFormat="false" ht="15" hidden="false" customHeight="false" outlineLevel="0" collapsed="false">
      <c r="A231" s="4" t="s">
        <v>570</v>
      </c>
      <c r="B231" s="9" t="n">
        <v>45679</v>
      </c>
      <c r="C231" s="4" t="s">
        <v>86</v>
      </c>
      <c r="D231" s="4" t="s">
        <v>267</v>
      </c>
      <c r="E231" s="4" t="n">
        <v>18</v>
      </c>
      <c r="F231" s="5" t="n">
        <f aca="false">INDEX(Products!$E:$E,MATCH(C231,Products!$A:$A,0))</f>
        <v>169.14</v>
      </c>
      <c r="G231" s="4" t="str">
        <f aca="false">INDEX(Products!$C:$C,MATCH(C231,Products!$A:$A,0))</f>
        <v>Office Supplies</v>
      </c>
      <c r="H231" s="4" t="str">
        <f aca="false">INDEX(Customers!$C:$C,MATCH(D231,Customers!$A:$A,0))</f>
        <v>R04</v>
      </c>
      <c r="I231" s="7" t="n">
        <f aca="false">INDEX(Regions!$C:$C,MATCH(H231,Regions!$A:$A,0))</f>
        <v>0.08</v>
      </c>
      <c r="J231" s="7" t="n">
        <f aca="false">INDEX(Regions!$D:$D,MATCH(H231,Regions!$A:$A,0))</f>
        <v>0.05</v>
      </c>
      <c r="K231" s="4" t="n">
        <f aca="false">INDEX(Regions!$E:$E,MATCH(H231,Regions!$A:$A,0))</f>
        <v>10</v>
      </c>
      <c r="L231" s="5" t="n">
        <f aca="false">E231*F231</f>
        <v>3044.52</v>
      </c>
      <c r="M231" s="5" t="n">
        <f aca="false">IF(E231&gt;=K231,L231*J231,0)</f>
        <v>152.226</v>
      </c>
      <c r="N231" s="5" t="n">
        <f aca="false">(L231-M231)*I231</f>
        <v>231.38352</v>
      </c>
      <c r="O231" s="5" t="n">
        <f aca="false">L231-M231+N231</f>
        <v>3123.67752</v>
      </c>
    </row>
    <row r="232" customFormat="false" ht="15" hidden="false" customHeight="false" outlineLevel="0" collapsed="false">
      <c r="A232" s="4" t="s">
        <v>571</v>
      </c>
      <c r="B232" s="9" t="n">
        <v>45950</v>
      </c>
      <c r="C232" s="4" t="s">
        <v>84</v>
      </c>
      <c r="D232" s="4" t="s">
        <v>329</v>
      </c>
      <c r="E232" s="4" t="n">
        <v>26</v>
      </c>
      <c r="F232" s="5" t="n">
        <f aca="false">INDEX(Products!$E:$E,MATCH(C232,Products!$A:$A,0))</f>
        <v>338.07</v>
      </c>
      <c r="G232" s="4" t="str">
        <f aca="false">INDEX(Products!$C:$C,MATCH(C232,Products!$A:$A,0))</f>
        <v>Office Supplies</v>
      </c>
      <c r="H232" s="4" t="str">
        <f aca="false">INDEX(Customers!$C:$C,MATCH(D232,Customers!$A:$A,0))</f>
        <v>R08</v>
      </c>
      <c r="I232" s="7" t="n">
        <f aca="false">INDEX(Regions!$C:$C,MATCH(H232,Regions!$A:$A,0))</f>
        <v>0.12</v>
      </c>
      <c r="J232" s="7" t="n">
        <f aca="false">INDEX(Regions!$D:$D,MATCH(H232,Regions!$A:$A,0))</f>
        <v>0.04</v>
      </c>
      <c r="K232" s="4" t="n">
        <f aca="false">INDEX(Regions!$E:$E,MATCH(H232,Regions!$A:$A,0))</f>
        <v>12</v>
      </c>
      <c r="L232" s="5" t="n">
        <f aca="false">E232*F232</f>
        <v>8789.82</v>
      </c>
      <c r="M232" s="5" t="n">
        <f aca="false">IF(E232&gt;=K232,L232*J232,0)</f>
        <v>351.5928</v>
      </c>
      <c r="N232" s="5" t="n">
        <f aca="false">(L232-M232)*I232</f>
        <v>1012.587264</v>
      </c>
      <c r="O232" s="5" t="n">
        <f aca="false">L232-M232+N232</f>
        <v>9450.814464</v>
      </c>
    </row>
    <row r="233" customFormat="false" ht="15" hidden="false" customHeight="false" outlineLevel="0" collapsed="false">
      <c r="A233" s="4" t="s">
        <v>572</v>
      </c>
      <c r="B233" s="9" t="n">
        <v>45901</v>
      </c>
      <c r="C233" s="4" t="s">
        <v>54</v>
      </c>
      <c r="D233" s="4" t="s">
        <v>214</v>
      </c>
      <c r="E233" s="4" t="n">
        <v>20</v>
      </c>
      <c r="F233" s="5" t="n">
        <f aca="false">INDEX(Products!$E:$E,MATCH(C233,Products!$A:$A,0))</f>
        <v>84.7</v>
      </c>
      <c r="G233" s="4" t="str">
        <f aca="false">INDEX(Products!$C:$C,MATCH(C233,Products!$A:$A,0))</f>
        <v>Office Supplies</v>
      </c>
      <c r="H233" s="4" t="str">
        <f aca="false">INDEX(Customers!$C:$C,MATCH(D233,Customers!$A:$A,0))</f>
        <v>R07</v>
      </c>
      <c r="I233" s="7" t="n">
        <f aca="false">INDEX(Regions!$C:$C,MATCH(H233,Regions!$A:$A,0))</f>
        <v>0.15</v>
      </c>
      <c r="J233" s="7" t="n">
        <f aca="false">INDEX(Regions!$D:$D,MATCH(H233,Regions!$A:$A,0))</f>
        <v>0.05</v>
      </c>
      <c r="K233" s="4" t="n">
        <f aca="false">INDEX(Regions!$E:$E,MATCH(H233,Regions!$A:$A,0))</f>
        <v>10</v>
      </c>
      <c r="L233" s="5" t="n">
        <f aca="false">E233*F233</f>
        <v>1694</v>
      </c>
      <c r="M233" s="5" t="n">
        <f aca="false">IF(E233&gt;=K233,L233*J233,0)</f>
        <v>84.7</v>
      </c>
      <c r="N233" s="5" t="n">
        <f aca="false">(L233-M233)*I233</f>
        <v>241.395</v>
      </c>
      <c r="O233" s="5" t="n">
        <f aca="false">L233-M233+N233</f>
        <v>1850.695</v>
      </c>
    </row>
    <row r="234" customFormat="false" ht="15" hidden="false" customHeight="false" outlineLevel="0" collapsed="false">
      <c r="A234" s="4" t="s">
        <v>573</v>
      </c>
      <c r="B234" s="9" t="n">
        <v>45888</v>
      </c>
      <c r="C234" s="4" t="s">
        <v>92</v>
      </c>
      <c r="D234" s="4" t="s">
        <v>173</v>
      </c>
      <c r="E234" s="4" t="n">
        <v>2</v>
      </c>
      <c r="F234" s="5" t="n">
        <f aca="false">INDEX(Products!$E:$E,MATCH(C234,Products!$A:$A,0))</f>
        <v>333.4</v>
      </c>
      <c r="G234" s="4" t="str">
        <f aca="false">INDEX(Products!$C:$C,MATCH(C234,Products!$A:$A,0))</f>
        <v>Outdoor</v>
      </c>
      <c r="H234" s="4" t="str">
        <f aca="false">INDEX(Customers!$C:$C,MATCH(D234,Customers!$A:$A,0))</f>
        <v>R08</v>
      </c>
      <c r="I234" s="7" t="n">
        <f aca="false">INDEX(Regions!$C:$C,MATCH(H234,Regions!$A:$A,0))</f>
        <v>0.12</v>
      </c>
      <c r="J234" s="7" t="n">
        <f aca="false">INDEX(Regions!$D:$D,MATCH(H234,Regions!$A:$A,0))</f>
        <v>0.04</v>
      </c>
      <c r="K234" s="4" t="n">
        <f aca="false">INDEX(Regions!$E:$E,MATCH(H234,Regions!$A:$A,0))</f>
        <v>12</v>
      </c>
      <c r="L234" s="5" t="n">
        <f aca="false">E234*F234</f>
        <v>666.8</v>
      </c>
      <c r="M234" s="5" t="n">
        <f aca="false">IF(E234&gt;=K234,L234*J234,0)</f>
        <v>0</v>
      </c>
      <c r="N234" s="5" t="n">
        <f aca="false">(L234-M234)*I234</f>
        <v>80.016</v>
      </c>
      <c r="O234" s="5" t="n">
        <f aca="false">L234-M234+N234</f>
        <v>746.816</v>
      </c>
    </row>
    <row r="235" customFormat="false" ht="15" hidden="false" customHeight="false" outlineLevel="0" collapsed="false">
      <c r="A235" s="4" t="s">
        <v>574</v>
      </c>
      <c r="B235" s="9" t="n">
        <v>45833</v>
      </c>
      <c r="C235" s="4" t="s">
        <v>42</v>
      </c>
      <c r="D235" s="4" t="s">
        <v>309</v>
      </c>
      <c r="E235" s="4" t="n">
        <v>29</v>
      </c>
      <c r="F235" s="5" t="n">
        <f aca="false">INDEX(Products!$E:$E,MATCH(C235,Products!$A:$A,0))</f>
        <v>156.05</v>
      </c>
      <c r="G235" s="4" t="str">
        <f aca="false">INDEX(Products!$C:$C,MATCH(C235,Products!$A:$A,0))</f>
        <v>Electronics</v>
      </c>
      <c r="H235" s="4" t="str">
        <f aca="false">INDEX(Customers!$C:$C,MATCH(D235,Customers!$A:$A,0))</f>
        <v>R08</v>
      </c>
      <c r="I235" s="7" t="n">
        <f aca="false">INDEX(Regions!$C:$C,MATCH(H235,Regions!$A:$A,0))</f>
        <v>0.12</v>
      </c>
      <c r="J235" s="7" t="n">
        <f aca="false">INDEX(Regions!$D:$D,MATCH(H235,Regions!$A:$A,0))</f>
        <v>0.04</v>
      </c>
      <c r="K235" s="4" t="n">
        <f aca="false">INDEX(Regions!$E:$E,MATCH(H235,Regions!$A:$A,0))</f>
        <v>12</v>
      </c>
      <c r="L235" s="5" t="n">
        <f aca="false">E235*F235</f>
        <v>4525.45</v>
      </c>
      <c r="M235" s="5" t="n">
        <f aca="false">IF(E235&gt;=K235,L235*J235,0)</f>
        <v>181.018</v>
      </c>
      <c r="N235" s="5" t="n">
        <f aca="false">(L235-M235)*I235</f>
        <v>521.33184</v>
      </c>
      <c r="O235" s="5" t="n">
        <f aca="false">L235-M235+N235</f>
        <v>4865.76384</v>
      </c>
    </row>
    <row r="236" customFormat="false" ht="15" hidden="false" customHeight="false" outlineLevel="0" collapsed="false">
      <c r="A236" s="4" t="s">
        <v>575</v>
      </c>
      <c r="B236" s="9" t="n">
        <v>45746</v>
      </c>
      <c r="C236" s="4" t="s">
        <v>40</v>
      </c>
      <c r="D236" s="4" t="s">
        <v>252</v>
      </c>
      <c r="E236" s="4" t="n">
        <v>21</v>
      </c>
      <c r="F236" s="5" t="n">
        <f aca="false">INDEX(Products!$E:$E,MATCH(C236,Products!$A:$A,0))</f>
        <v>93.05</v>
      </c>
      <c r="G236" s="4" t="str">
        <f aca="false">INDEX(Products!$C:$C,MATCH(C236,Products!$A:$A,0))</f>
        <v>Office Supplies</v>
      </c>
      <c r="H236" s="4" t="str">
        <f aca="false">INDEX(Customers!$C:$C,MATCH(D236,Customers!$A:$A,0))</f>
        <v>R06</v>
      </c>
      <c r="I236" s="7" t="n">
        <f aca="false">INDEX(Regions!$C:$C,MATCH(H236,Regions!$A:$A,0))</f>
        <v>0.06</v>
      </c>
      <c r="J236" s="7" t="n">
        <f aca="false">INDEX(Regions!$D:$D,MATCH(H236,Regions!$A:$A,0))</f>
        <v>0.04</v>
      </c>
      <c r="K236" s="4" t="n">
        <f aca="false">INDEX(Regions!$E:$E,MATCH(H236,Regions!$A:$A,0))</f>
        <v>12</v>
      </c>
      <c r="L236" s="5" t="n">
        <f aca="false">E236*F236</f>
        <v>1954.05</v>
      </c>
      <c r="M236" s="5" t="n">
        <f aca="false">IF(E236&gt;=K236,L236*J236,0)</f>
        <v>78.162</v>
      </c>
      <c r="N236" s="5" t="n">
        <f aca="false">(L236-M236)*I236</f>
        <v>112.55328</v>
      </c>
      <c r="O236" s="5" t="n">
        <f aca="false">L236-M236+N236</f>
        <v>1988.44128</v>
      </c>
    </row>
    <row r="237" customFormat="false" ht="15" hidden="false" customHeight="false" outlineLevel="0" collapsed="false">
      <c r="A237" s="4" t="s">
        <v>576</v>
      </c>
      <c r="B237" s="9" t="n">
        <v>45882</v>
      </c>
      <c r="C237" s="4" t="s">
        <v>32</v>
      </c>
      <c r="D237" s="4" t="s">
        <v>195</v>
      </c>
      <c r="E237" s="4" t="n">
        <v>23</v>
      </c>
      <c r="F237" s="5" t="n">
        <f aca="false">INDEX(Products!$E:$E,MATCH(C237,Products!$A:$A,0))</f>
        <v>112.96</v>
      </c>
      <c r="G237" s="4" t="str">
        <f aca="false">INDEX(Products!$C:$C,MATCH(C237,Products!$A:$A,0))</f>
        <v>Home &amp; Kitchen</v>
      </c>
      <c r="H237" s="4" t="str">
        <f aca="false">INDEX(Customers!$C:$C,MATCH(D237,Customers!$A:$A,0))</f>
        <v>R01</v>
      </c>
      <c r="I237" s="7" t="n">
        <f aca="false">INDEX(Regions!$C:$C,MATCH(H237,Regions!$A:$A,0))</f>
        <v>0.0825</v>
      </c>
      <c r="J237" s="7" t="n">
        <f aca="false">INDEX(Regions!$D:$D,MATCH(H237,Regions!$A:$A,0))</f>
        <v>0.05</v>
      </c>
      <c r="K237" s="4" t="n">
        <f aca="false">INDEX(Regions!$E:$E,MATCH(H237,Regions!$A:$A,0))</f>
        <v>10</v>
      </c>
      <c r="L237" s="5" t="n">
        <f aca="false">E237*F237</f>
        <v>2598.08</v>
      </c>
      <c r="M237" s="5" t="n">
        <f aca="false">IF(E237&gt;=K237,L237*J237,0)</f>
        <v>129.904</v>
      </c>
      <c r="N237" s="5" t="n">
        <f aca="false">(L237-M237)*I237</f>
        <v>203.62452</v>
      </c>
      <c r="O237" s="5" t="n">
        <f aca="false">L237-M237+N237</f>
        <v>2671.80052</v>
      </c>
    </row>
    <row r="238" customFormat="false" ht="15" hidden="false" customHeight="false" outlineLevel="0" collapsed="false">
      <c r="A238" s="4" t="s">
        <v>577</v>
      </c>
      <c r="B238" s="9" t="n">
        <v>45970</v>
      </c>
      <c r="C238" s="4" t="s">
        <v>84</v>
      </c>
      <c r="D238" s="4" t="s">
        <v>257</v>
      </c>
      <c r="E238" s="4" t="n">
        <v>17</v>
      </c>
      <c r="F238" s="5" t="n">
        <f aca="false">INDEX(Products!$E:$E,MATCH(C238,Products!$A:$A,0))</f>
        <v>338.07</v>
      </c>
      <c r="G238" s="4" t="str">
        <f aca="false">INDEX(Products!$C:$C,MATCH(C238,Products!$A:$A,0))</f>
        <v>Office Supplies</v>
      </c>
      <c r="H238" s="4" t="str">
        <f aca="false">INDEX(Customers!$C:$C,MATCH(D238,Customers!$A:$A,0))</f>
        <v>R08</v>
      </c>
      <c r="I238" s="7" t="n">
        <f aca="false">INDEX(Regions!$C:$C,MATCH(H238,Regions!$A:$A,0))</f>
        <v>0.12</v>
      </c>
      <c r="J238" s="7" t="n">
        <f aca="false">INDEX(Regions!$D:$D,MATCH(H238,Regions!$A:$A,0))</f>
        <v>0.04</v>
      </c>
      <c r="K238" s="4" t="n">
        <f aca="false">INDEX(Regions!$E:$E,MATCH(H238,Regions!$A:$A,0))</f>
        <v>12</v>
      </c>
      <c r="L238" s="5" t="n">
        <f aca="false">E238*F238</f>
        <v>5747.19</v>
      </c>
      <c r="M238" s="5" t="n">
        <f aca="false">IF(E238&gt;=K238,L238*J238,0)</f>
        <v>229.8876</v>
      </c>
      <c r="N238" s="5" t="n">
        <f aca="false">(L238-M238)*I238</f>
        <v>662.076288</v>
      </c>
      <c r="O238" s="5" t="n">
        <f aca="false">L238-M238+N238</f>
        <v>6179.378688</v>
      </c>
    </row>
    <row r="239" customFormat="false" ht="15" hidden="false" customHeight="false" outlineLevel="0" collapsed="false">
      <c r="A239" s="4" t="s">
        <v>578</v>
      </c>
      <c r="B239" s="9" t="n">
        <v>45802</v>
      </c>
      <c r="C239" s="4" t="s">
        <v>50</v>
      </c>
      <c r="D239" s="4" t="s">
        <v>222</v>
      </c>
      <c r="E239" s="4" t="n">
        <v>12</v>
      </c>
      <c r="F239" s="5" t="n">
        <f aca="false">INDEX(Products!$E:$E,MATCH(C239,Products!$A:$A,0))</f>
        <v>508.17</v>
      </c>
      <c r="G239" s="4" t="str">
        <f aca="false">INDEX(Products!$C:$C,MATCH(C239,Products!$A:$A,0))</f>
        <v>Office Supplies</v>
      </c>
      <c r="H239" s="4" t="str">
        <f aca="false">INDEX(Customers!$C:$C,MATCH(D239,Customers!$A:$A,0))</f>
        <v>R07</v>
      </c>
      <c r="I239" s="7" t="n">
        <f aca="false">INDEX(Regions!$C:$C,MATCH(H239,Regions!$A:$A,0))</f>
        <v>0.15</v>
      </c>
      <c r="J239" s="7" t="n">
        <f aca="false">INDEX(Regions!$D:$D,MATCH(H239,Regions!$A:$A,0))</f>
        <v>0.05</v>
      </c>
      <c r="K239" s="4" t="n">
        <f aca="false">INDEX(Regions!$E:$E,MATCH(H239,Regions!$A:$A,0))</f>
        <v>10</v>
      </c>
      <c r="L239" s="5" t="n">
        <f aca="false">E239*F239</f>
        <v>6098.04</v>
      </c>
      <c r="M239" s="5" t="n">
        <f aca="false">IF(E239&gt;=K239,L239*J239,0)</f>
        <v>304.902</v>
      </c>
      <c r="N239" s="5" t="n">
        <f aca="false">(L239-M239)*I239</f>
        <v>868.9707</v>
      </c>
      <c r="O239" s="5" t="n">
        <f aca="false">L239-M239+N239</f>
        <v>6662.1087</v>
      </c>
    </row>
    <row r="240" customFormat="false" ht="15" hidden="false" customHeight="false" outlineLevel="0" collapsed="false">
      <c r="A240" s="4" t="s">
        <v>579</v>
      </c>
      <c r="B240" s="9" t="n">
        <v>45831</v>
      </c>
      <c r="C240" s="4" t="s">
        <v>77</v>
      </c>
      <c r="D240" s="4" t="s">
        <v>233</v>
      </c>
      <c r="E240" s="4" t="n">
        <v>25</v>
      </c>
      <c r="F240" s="5" t="n">
        <f aca="false">INDEX(Products!$E:$E,MATCH(C240,Products!$A:$A,0))</f>
        <v>302.78</v>
      </c>
      <c r="G240" s="4" t="str">
        <f aca="false">INDEX(Products!$C:$C,MATCH(C240,Products!$A:$A,0))</f>
        <v>Electronics</v>
      </c>
      <c r="H240" s="4" t="str">
        <f aca="false">INDEX(Customers!$C:$C,MATCH(D240,Customers!$A:$A,0))</f>
        <v>R05</v>
      </c>
      <c r="I240" s="7" t="n">
        <f aca="false">INDEX(Regions!$C:$C,MATCH(H240,Regions!$A:$A,0))</f>
        <v>0.0925</v>
      </c>
      <c r="J240" s="7" t="n">
        <f aca="false">INDEX(Regions!$D:$D,MATCH(H240,Regions!$A:$A,0))</f>
        <v>0.06</v>
      </c>
      <c r="K240" s="4" t="n">
        <f aca="false">INDEX(Regions!$E:$E,MATCH(H240,Regions!$A:$A,0))</f>
        <v>8</v>
      </c>
      <c r="L240" s="5" t="n">
        <f aca="false">E240*F240</f>
        <v>7569.5</v>
      </c>
      <c r="M240" s="5" t="n">
        <f aca="false">IF(E240&gt;=K240,L240*J240,0)</f>
        <v>454.17</v>
      </c>
      <c r="N240" s="5" t="n">
        <f aca="false">(L240-M240)*I240</f>
        <v>658.168025</v>
      </c>
      <c r="O240" s="5" t="n">
        <f aca="false">L240-M240+N240</f>
        <v>7773.498025</v>
      </c>
    </row>
    <row r="241" customFormat="false" ht="15" hidden="false" customHeight="false" outlineLevel="0" collapsed="false">
      <c r="A241" s="4" t="s">
        <v>580</v>
      </c>
      <c r="B241" s="9" t="n">
        <v>45981</v>
      </c>
      <c r="C241" s="4" t="s">
        <v>103</v>
      </c>
      <c r="D241" s="4" t="s">
        <v>147</v>
      </c>
      <c r="E241" s="4" t="n">
        <v>26</v>
      </c>
      <c r="F241" s="5" t="n">
        <f aca="false">INDEX(Products!$E:$E,MATCH(C241,Products!$A:$A,0))</f>
        <v>125.31</v>
      </c>
      <c r="G241" s="4" t="str">
        <f aca="false">INDEX(Products!$C:$C,MATCH(C241,Products!$A:$A,0))</f>
        <v>Home &amp; Kitchen</v>
      </c>
      <c r="H241" s="4" t="str">
        <f aca="false">INDEX(Customers!$C:$C,MATCH(D241,Customers!$A:$A,0))</f>
        <v>R01</v>
      </c>
      <c r="I241" s="7" t="n">
        <f aca="false">INDEX(Regions!$C:$C,MATCH(H241,Regions!$A:$A,0))</f>
        <v>0.0825</v>
      </c>
      <c r="J241" s="7" t="n">
        <f aca="false">INDEX(Regions!$D:$D,MATCH(H241,Regions!$A:$A,0))</f>
        <v>0.05</v>
      </c>
      <c r="K241" s="4" t="n">
        <f aca="false">INDEX(Regions!$E:$E,MATCH(H241,Regions!$A:$A,0))</f>
        <v>10</v>
      </c>
      <c r="L241" s="5" t="n">
        <f aca="false">E241*F241</f>
        <v>3258.06</v>
      </c>
      <c r="M241" s="5" t="n">
        <f aca="false">IF(E241&gt;=K241,L241*J241,0)</f>
        <v>162.903</v>
      </c>
      <c r="N241" s="5" t="n">
        <f aca="false">(L241-M241)*I241</f>
        <v>255.3504525</v>
      </c>
      <c r="O241" s="5" t="n">
        <f aca="false">L241-M241+N241</f>
        <v>3350.5074525</v>
      </c>
    </row>
    <row r="242" customFormat="false" ht="15" hidden="false" customHeight="false" outlineLevel="0" collapsed="false">
      <c r="A242" s="4" t="s">
        <v>581</v>
      </c>
      <c r="B242" s="9" t="n">
        <v>45706</v>
      </c>
      <c r="C242" s="4" t="s">
        <v>71</v>
      </c>
      <c r="D242" s="4" t="s">
        <v>151</v>
      </c>
      <c r="E242" s="4" t="n">
        <v>11</v>
      </c>
      <c r="F242" s="5" t="n">
        <f aca="false">INDEX(Products!$E:$E,MATCH(C242,Products!$A:$A,0))</f>
        <v>59.51</v>
      </c>
      <c r="G242" s="4" t="str">
        <f aca="false">INDEX(Products!$C:$C,MATCH(C242,Products!$A:$A,0))</f>
        <v>Electronics</v>
      </c>
      <c r="H242" s="4" t="str">
        <f aca="false">INDEX(Customers!$C:$C,MATCH(D242,Customers!$A:$A,0))</f>
        <v>R03</v>
      </c>
      <c r="I242" s="7" t="n">
        <f aca="false">INDEX(Regions!$C:$C,MATCH(H242,Regions!$A:$A,0))</f>
        <v>0.0625</v>
      </c>
      <c r="J242" s="7" t="n">
        <f aca="false">INDEX(Regions!$D:$D,MATCH(H242,Regions!$A:$A,0))</f>
        <v>0.03</v>
      </c>
      <c r="K242" s="4" t="n">
        <f aca="false">INDEX(Regions!$E:$E,MATCH(H242,Regions!$A:$A,0))</f>
        <v>15</v>
      </c>
      <c r="L242" s="5" t="n">
        <f aca="false">E242*F242</f>
        <v>654.61</v>
      </c>
      <c r="M242" s="5" t="n">
        <f aca="false">IF(E242&gt;=K242,L242*J242,0)</f>
        <v>0</v>
      </c>
      <c r="N242" s="5" t="n">
        <f aca="false">(L242-M242)*I242</f>
        <v>40.913125</v>
      </c>
      <c r="O242" s="5" t="n">
        <f aca="false">L242-M242+N242</f>
        <v>695.523125</v>
      </c>
    </row>
    <row r="243" customFormat="false" ht="15" hidden="false" customHeight="false" outlineLevel="0" collapsed="false">
      <c r="A243" s="4" t="s">
        <v>582</v>
      </c>
      <c r="B243" s="9" t="n">
        <v>45803</v>
      </c>
      <c r="C243" s="4" t="s">
        <v>98</v>
      </c>
      <c r="D243" s="4" t="s">
        <v>286</v>
      </c>
      <c r="E243" s="4" t="n">
        <v>13</v>
      </c>
      <c r="F243" s="5" t="n">
        <f aca="false">INDEX(Products!$E:$E,MATCH(C243,Products!$A:$A,0))</f>
        <v>26.28</v>
      </c>
      <c r="G243" s="4" t="str">
        <f aca="false">INDEX(Products!$C:$C,MATCH(C243,Products!$A:$A,0))</f>
        <v>Home &amp; Kitchen</v>
      </c>
      <c r="H243" s="4" t="str">
        <f aca="false">INDEX(Customers!$C:$C,MATCH(D243,Customers!$A:$A,0))</f>
        <v>R02</v>
      </c>
      <c r="I243" s="7" t="n">
        <f aca="false">INDEX(Regions!$C:$C,MATCH(H243,Regions!$A:$A,0))</f>
        <v>0.07</v>
      </c>
      <c r="J243" s="7" t="n">
        <f aca="false">INDEX(Regions!$D:$D,MATCH(H243,Regions!$A:$A,0))</f>
        <v>0.04</v>
      </c>
      <c r="K243" s="4" t="n">
        <f aca="false">INDEX(Regions!$E:$E,MATCH(H243,Regions!$A:$A,0))</f>
        <v>12</v>
      </c>
      <c r="L243" s="5" t="n">
        <f aca="false">E243*F243</f>
        <v>341.64</v>
      </c>
      <c r="M243" s="5" t="n">
        <f aca="false">IF(E243&gt;=K243,L243*J243,0)</f>
        <v>13.6656</v>
      </c>
      <c r="N243" s="5" t="n">
        <f aca="false">(L243-M243)*I243</f>
        <v>22.958208</v>
      </c>
      <c r="O243" s="5" t="n">
        <f aca="false">L243-M243+N243</f>
        <v>350.932608</v>
      </c>
    </row>
    <row r="244" customFormat="false" ht="15" hidden="false" customHeight="false" outlineLevel="0" collapsed="false">
      <c r="A244" s="4" t="s">
        <v>583</v>
      </c>
      <c r="B244" s="9" t="n">
        <v>45994</v>
      </c>
      <c r="C244" s="4" t="s">
        <v>62</v>
      </c>
      <c r="D244" s="4" t="s">
        <v>294</v>
      </c>
      <c r="E244" s="4" t="n">
        <v>28</v>
      </c>
      <c r="F244" s="5" t="n">
        <f aca="false">INDEX(Products!$E:$E,MATCH(C244,Products!$A:$A,0))</f>
        <v>329.87</v>
      </c>
      <c r="G244" s="4" t="str">
        <f aca="false">INDEX(Products!$C:$C,MATCH(C244,Products!$A:$A,0))</f>
        <v>Electronics</v>
      </c>
      <c r="H244" s="4" t="str">
        <f aca="false">INDEX(Customers!$C:$C,MATCH(D244,Customers!$A:$A,0))</f>
        <v>R01</v>
      </c>
      <c r="I244" s="7" t="n">
        <f aca="false">INDEX(Regions!$C:$C,MATCH(H244,Regions!$A:$A,0))</f>
        <v>0.0825</v>
      </c>
      <c r="J244" s="7" t="n">
        <f aca="false">INDEX(Regions!$D:$D,MATCH(H244,Regions!$A:$A,0))</f>
        <v>0.05</v>
      </c>
      <c r="K244" s="4" t="n">
        <f aca="false">INDEX(Regions!$E:$E,MATCH(H244,Regions!$A:$A,0))</f>
        <v>10</v>
      </c>
      <c r="L244" s="5" t="n">
        <f aca="false">E244*F244</f>
        <v>9236.36</v>
      </c>
      <c r="M244" s="5" t="n">
        <f aca="false">IF(E244&gt;=K244,L244*J244,0)</f>
        <v>461.818</v>
      </c>
      <c r="N244" s="5" t="n">
        <f aca="false">(L244-M244)*I244</f>
        <v>723.899715</v>
      </c>
      <c r="O244" s="5" t="n">
        <f aca="false">L244-M244+N244</f>
        <v>9498.441715</v>
      </c>
    </row>
    <row r="245" customFormat="false" ht="15" hidden="false" customHeight="false" outlineLevel="0" collapsed="false">
      <c r="A245" s="4" t="s">
        <v>584</v>
      </c>
      <c r="B245" s="9" t="n">
        <v>45828</v>
      </c>
      <c r="C245" s="4" t="s">
        <v>103</v>
      </c>
      <c r="D245" s="4" t="s">
        <v>320</v>
      </c>
      <c r="E245" s="4" t="n">
        <v>5</v>
      </c>
      <c r="F245" s="5" t="n">
        <f aca="false">INDEX(Products!$E:$E,MATCH(C245,Products!$A:$A,0))</f>
        <v>125.31</v>
      </c>
      <c r="G245" s="4" t="str">
        <f aca="false">INDEX(Products!$C:$C,MATCH(C245,Products!$A:$A,0))</f>
        <v>Home &amp; Kitchen</v>
      </c>
      <c r="H245" s="4" t="str">
        <f aca="false">INDEX(Customers!$C:$C,MATCH(D245,Customers!$A:$A,0))</f>
        <v>R06</v>
      </c>
      <c r="I245" s="7" t="n">
        <f aca="false">INDEX(Regions!$C:$C,MATCH(H245,Regions!$A:$A,0))</f>
        <v>0.06</v>
      </c>
      <c r="J245" s="7" t="n">
        <f aca="false">INDEX(Regions!$D:$D,MATCH(H245,Regions!$A:$A,0))</f>
        <v>0.04</v>
      </c>
      <c r="K245" s="4" t="n">
        <f aca="false">INDEX(Regions!$E:$E,MATCH(H245,Regions!$A:$A,0))</f>
        <v>12</v>
      </c>
      <c r="L245" s="5" t="n">
        <f aca="false">E245*F245</f>
        <v>626.55</v>
      </c>
      <c r="M245" s="5" t="n">
        <f aca="false">IF(E245&gt;=K245,L245*J245,0)</f>
        <v>0</v>
      </c>
      <c r="N245" s="5" t="n">
        <f aca="false">(L245-M245)*I245</f>
        <v>37.593</v>
      </c>
      <c r="O245" s="5" t="n">
        <f aca="false">L245-M245+N245</f>
        <v>664.143</v>
      </c>
    </row>
    <row r="246" customFormat="false" ht="15" hidden="false" customHeight="false" outlineLevel="0" collapsed="false">
      <c r="A246" s="4" t="s">
        <v>585</v>
      </c>
      <c r="B246" s="9" t="n">
        <v>45730</v>
      </c>
      <c r="C246" s="4" t="s">
        <v>40</v>
      </c>
      <c r="D246" s="4" t="s">
        <v>267</v>
      </c>
      <c r="E246" s="4" t="n">
        <v>22</v>
      </c>
      <c r="F246" s="5" t="n">
        <f aca="false">INDEX(Products!$E:$E,MATCH(C246,Products!$A:$A,0))</f>
        <v>93.05</v>
      </c>
      <c r="G246" s="4" t="str">
        <f aca="false">INDEX(Products!$C:$C,MATCH(C246,Products!$A:$A,0))</f>
        <v>Office Supplies</v>
      </c>
      <c r="H246" s="4" t="str">
        <f aca="false">INDEX(Customers!$C:$C,MATCH(D246,Customers!$A:$A,0))</f>
        <v>R04</v>
      </c>
      <c r="I246" s="7" t="n">
        <f aca="false">INDEX(Regions!$C:$C,MATCH(H246,Regions!$A:$A,0))</f>
        <v>0.08</v>
      </c>
      <c r="J246" s="7" t="n">
        <f aca="false">INDEX(Regions!$D:$D,MATCH(H246,Regions!$A:$A,0))</f>
        <v>0.05</v>
      </c>
      <c r="K246" s="4" t="n">
        <f aca="false">INDEX(Regions!$E:$E,MATCH(H246,Regions!$A:$A,0))</f>
        <v>10</v>
      </c>
      <c r="L246" s="5" t="n">
        <f aca="false">E246*F246</f>
        <v>2047.1</v>
      </c>
      <c r="M246" s="5" t="n">
        <f aca="false">IF(E246&gt;=K246,L246*J246,0)</f>
        <v>102.355</v>
      </c>
      <c r="N246" s="5" t="n">
        <f aca="false">(L246-M246)*I246</f>
        <v>155.5796</v>
      </c>
      <c r="O246" s="5" t="n">
        <f aca="false">L246-M246+N246</f>
        <v>2100.3246</v>
      </c>
    </row>
    <row r="247" customFormat="false" ht="15" hidden="false" customHeight="false" outlineLevel="0" collapsed="false">
      <c r="A247" s="4" t="s">
        <v>586</v>
      </c>
      <c r="B247" s="9" t="n">
        <v>46015</v>
      </c>
      <c r="C247" s="4" t="s">
        <v>73</v>
      </c>
      <c r="D247" s="4" t="s">
        <v>210</v>
      </c>
      <c r="E247" s="4" t="n">
        <v>21</v>
      </c>
      <c r="F247" s="5" t="n">
        <f aca="false">INDEX(Products!$E:$E,MATCH(C247,Products!$A:$A,0))</f>
        <v>180.28</v>
      </c>
      <c r="G247" s="4" t="str">
        <f aca="false">INDEX(Products!$C:$C,MATCH(C247,Products!$A:$A,0))</f>
        <v>Electronics</v>
      </c>
      <c r="H247" s="4" t="str">
        <f aca="false">INDEX(Customers!$C:$C,MATCH(D247,Customers!$A:$A,0))</f>
        <v>R04</v>
      </c>
      <c r="I247" s="7" t="n">
        <f aca="false">INDEX(Regions!$C:$C,MATCH(H247,Regions!$A:$A,0))</f>
        <v>0.08</v>
      </c>
      <c r="J247" s="7" t="n">
        <f aca="false">INDEX(Regions!$D:$D,MATCH(H247,Regions!$A:$A,0))</f>
        <v>0.05</v>
      </c>
      <c r="K247" s="4" t="n">
        <f aca="false">INDEX(Regions!$E:$E,MATCH(H247,Regions!$A:$A,0))</f>
        <v>10</v>
      </c>
      <c r="L247" s="5" t="n">
        <f aca="false">E247*F247</f>
        <v>3785.88</v>
      </c>
      <c r="M247" s="5" t="n">
        <f aca="false">IF(E247&gt;=K247,L247*J247,0)</f>
        <v>189.294</v>
      </c>
      <c r="N247" s="5" t="n">
        <f aca="false">(L247-M247)*I247</f>
        <v>287.72688</v>
      </c>
      <c r="O247" s="5" t="n">
        <f aca="false">L247-M247+N247</f>
        <v>3884.31288</v>
      </c>
    </row>
    <row r="248" customFormat="false" ht="15" hidden="false" customHeight="false" outlineLevel="0" collapsed="false">
      <c r="A248" s="4" t="s">
        <v>587</v>
      </c>
      <c r="B248" s="9" t="n">
        <v>46020</v>
      </c>
      <c r="C248" s="4" t="s">
        <v>79</v>
      </c>
      <c r="D248" s="4" t="s">
        <v>167</v>
      </c>
      <c r="E248" s="4" t="n">
        <v>20</v>
      </c>
      <c r="F248" s="5" t="n">
        <f aca="false">INDEX(Products!$E:$E,MATCH(C248,Products!$A:$A,0))</f>
        <v>53.77</v>
      </c>
      <c r="G248" s="4" t="str">
        <f aca="false">INDEX(Products!$C:$C,MATCH(C248,Products!$A:$A,0))</f>
        <v>Office Supplies</v>
      </c>
      <c r="H248" s="4" t="str">
        <f aca="false">INDEX(Customers!$C:$C,MATCH(D248,Customers!$A:$A,0))</f>
        <v>R07</v>
      </c>
      <c r="I248" s="7" t="n">
        <f aca="false">INDEX(Regions!$C:$C,MATCH(H248,Regions!$A:$A,0))</f>
        <v>0.15</v>
      </c>
      <c r="J248" s="7" t="n">
        <f aca="false">INDEX(Regions!$D:$D,MATCH(H248,Regions!$A:$A,0))</f>
        <v>0.05</v>
      </c>
      <c r="K248" s="4" t="n">
        <f aca="false">INDEX(Regions!$E:$E,MATCH(H248,Regions!$A:$A,0))</f>
        <v>10</v>
      </c>
      <c r="L248" s="5" t="n">
        <f aca="false">E248*F248</f>
        <v>1075.4</v>
      </c>
      <c r="M248" s="5" t="n">
        <f aca="false">IF(E248&gt;=K248,L248*J248,0)</f>
        <v>53.77</v>
      </c>
      <c r="N248" s="5" t="n">
        <f aca="false">(L248-M248)*I248</f>
        <v>153.2445</v>
      </c>
      <c r="O248" s="5" t="n">
        <f aca="false">L248-M248+N248</f>
        <v>1174.8745</v>
      </c>
    </row>
    <row r="249" customFormat="false" ht="15" hidden="false" customHeight="false" outlineLevel="0" collapsed="false">
      <c r="A249" s="4" t="s">
        <v>588</v>
      </c>
      <c r="B249" s="9" t="n">
        <v>45850</v>
      </c>
      <c r="C249" s="4" t="s">
        <v>40</v>
      </c>
      <c r="D249" s="4" t="s">
        <v>210</v>
      </c>
      <c r="E249" s="4" t="n">
        <v>18</v>
      </c>
      <c r="F249" s="5" t="n">
        <f aca="false">INDEX(Products!$E:$E,MATCH(C249,Products!$A:$A,0))</f>
        <v>93.05</v>
      </c>
      <c r="G249" s="4" t="str">
        <f aca="false">INDEX(Products!$C:$C,MATCH(C249,Products!$A:$A,0))</f>
        <v>Office Supplies</v>
      </c>
      <c r="H249" s="4" t="str">
        <f aca="false">INDEX(Customers!$C:$C,MATCH(D249,Customers!$A:$A,0))</f>
        <v>R04</v>
      </c>
      <c r="I249" s="7" t="n">
        <f aca="false">INDEX(Regions!$C:$C,MATCH(H249,Regions!$A:$A,0))</f>
        <v>0.08</v>
      </c>
      <c r="J249" s="7" t="n">
        <f aca="false">INDEX(Regions!$D:$D,MATCH(H249,Regions!$A:$A,0))</f>
        <v>0.05</v>
      </c>
      <c r="K249" s="4" t="n">
        <f aca="false">INDEX(Regions!$E:$E,MATCH(H249,Regions!$A:$A,0))</f>
        <v>10</v>
      </c>
      <c r="L249" s="5" t="n">
        <f aca="false">E249*F249</f>
        <v>1674.9</v>
      </c>
      <c r="M249" s="5" t="n">
        <f aca="false">IF(E249&gt;=K249,L249*J249,0)</f>
        <v>83.745</v>
      </c>
      <c r="N249" s="5" t="n">
        <f aca="false">(L249-M249)*I249</f>
        <v>127.2924</v>
      </c>
      <c r="O249" s="5" t="n">
        <f aca="false">L249-M249+N249</f>
        <v>1718.4474</v>
      </c>
    </row>
    <row r="250" customFormat="false" ht="15" hidden="false" customHeight="false" outlineLevel="0" collapsed="false">
      <c r="A250" s="4" t="s">
        <v>589</v>
      </c>
      <c r="B250" s="9" t="n">
        <v>46001</v>
      </c>
      <c r="C250" s="4" t="s">
        <v>71</v>
      </c>
      <c r="D250" s="4" t="s">
        <v>310</v>
      </c>
      <c r="E250" s="4" t="n">
        <v>5</v>
      </c>
      <c r="F250" s="5" t="n">
        <f aca="false">INDEX(Products!$E:$E,MATCH(C250,Products!$A:$A,0))</f>
        <v>59.51</v>
      </c>
      <c r="G250" s="4" t="str">
        <f aca="false">INDEX(Products!$C:$C,MATCH(C250,Products!$A:$A,0))</f>
        <v>Electronics</v>
      </c>
      <c r="H250" s="4" t="str">
        <f aca="false">INDEX(Customers!$C:$C,MATCH(D250,Customers!$A:$A,0))</f>
        <v>R04</v>
      </c>
      <c r="I250" s="7" t="n">
        <f aca="false">INDEX(Regions!$C:$C,MATCH(H250,Regions!$A:$A,0))</f>
        <v>0.08</v>
      </c>
      <c r="J250" s="7" t="n">
        <f aca="false">INDEX(Regions!$D:$D,MATCH(H250,Regions!$A:$A,0))</f>
        <v>0.05</v>
      </c>
      <c r="K250" s="4" t="n">
        <f aca="false">INDEX(Regions!$E:$E,MATCH(H250,Regions!$A:$A,0))</f>
        <v>10</v>
      </c>
      <c r="L250" s="5" t="n">
        <f aca="false">E250*F250</f>
        <v>297.55</v>
      </c>
      <c r="M250" s="5" t="n">
        <f aca="false">IF(E250&gt;=K250,L250*J250,0)</f>
        <v>0</v>
      </c>
      <c r="N250" s="5" t="n">
        <f aca="false">(L250-M250)*I250</f>
        <v>23.804</v>
      </c>
      <c r="O250" s="5" t="n">
        <f aca="false">L250-M250+N250</f>
        <v>321.354</v>
      </c>
    </row>
    <row r="251" customFormat="false" ht="15" hidden="false" customHeight="false" outlineLevel="0" collapsed="false">
      <c r="A251" s="4" t="s">
        <v>590</v>
      </c>
      <c r="B251" s="9" t="n">
        <v>46001</v>
      </c>
      <c r="C251" s="4" t="s">
        <v>94</v>
      </c>
      <c r="D251" s="4" t="s">
        <v>157</v>
      </c>
      <c r="E251" s="4" t="n">
        <v>21</v>
      </c>
      <c r="F251" s="5" t="n">
        <f aca="false">INDEX(Products!$E:$E,MATCH(C251,Products!$A:$A,0))</f>
        <v>362.1</v>
      </c>
      <c r="G251" s="4" t="str">
        <f aca="false">INDEX(Products!$C:$C,MATCH(C251,Products!$A:$A,0))</f>
        <v>Apparel</v>
      </c>
      <c r="H251" s="4" t="str">
        <f aca="false">INDEX(Customers!$C:$C,MATCH(D251,Customers!$A:$A,0))</f>
        <v>R01</v>
      </c>
      <c r="I251" s="7" t="n">
        <f aca="false">INDEX(Regions!$C:$C,MATCH(H251,Regions!$A:$A,0))</f>
        <v>0.0825</v>
      </c>
      <c r="J251" s="7" t="n">
        <f aca="false">INDEX(Regions!$D:$D,MATCH(H251,Regions!$A:$A,0))</f>
        <v>0.05</v>
      </c>
      <c r="K251" s="4" t="n">
        <f aca="false">INDEX(Regions!$E:$E,MATCH(H251,Regions!$A:$A,0))</f>
        <v>10</v>
      </c>
      <c r="L251" s="5" t="n">
        <f aca="false">E251*F251</f>
        <v>7604.1</v>
      </c>
      <c r="M251" s="5" t="n">
        <f aca="false">IF(E251&gt;=K251,L251*J251,0)</f>
        <v>380.205</v>
      </c>
      <c r="N251" s="5" t="n">
        <f aca="false">(L251-M251)*I251</f>
        <v>595.9713375</v>
      </c>
      <c r="O251" s="5" t="n">
        <f aca="false">L251-M251+N251</f>
        <v>7819.8663375</v>
      </c>
    </row>
    <row r="252" customFormat="false" ht="15" hidden="false" customHeight="false" outlineLevel="0" collapsed="false">
      <c r="A252" s="4" t="s">
        <v>591</v>
      </c>
      <c r="B252" s="9" t="n">
        <v>45667</v>
      </c>
      <c r="C252" s="4" t="s">
        <v>82</v>
      </c>
      <c r="D252" s="4" t="s">
        <v>254</v>
      </c>
      <c r="E252" s="4" t="n">
        <v>12</v>
      </c>
      <c r="F252" s="5" t="n">
        <f aca="false">INDEX(Products!$E:$E,MATCH(C252,Products!$A:$A,0))</f>
        <v>365.87</v>
      </c>
      <c r="G252" s="4" t="str">
        <f aca="false">INDEX(Products!$C:$C,MATCH(C252,Products!$A:$A,0))</f>
        <v>Office Supplies</v>
      </c>
      <c r="H252" s="4" t="str">
        <f aca="false">INDEX(Customers!$C:$C,MATCH(D252,Customers!$A:$A,0))</f>
        <v>R07</v>
      </c>
      <c r="I252" s="7" t="n">
        <f aca="false">INDEX(Regions!$C:$C,MATCH(H252,Regions!$A:$A,0))</f>
        <v>0.15</v>
      </c>
      <c r="J252" s="7" t="n">
        <f aca="false">INDEX(Regions!$D:$D,MATCH(H252,Regions!$A:$A,0))</f>
        <v>0.05</v>
      </c>
      <c r="K252" s="4" t="n">
        <f aca="false">INDEX(Regions!$E:$E,MATCH(H252,Regions!$A:$A,0))</f>
        <v>10</v>
      </c>
      <c r="L252" s="5" t="n">
        <f aca="false">E252*F252</f>
        <v>4390.44</v>
      </c>
      <c r="M252" s="5" t="n">
        <f aca="false">IF(E252&gt;=K252,L252*J252,0)</f>
        <v>219.522</v>
      </c>
      <c r="N252" s="5" t="n">
        <f aca="false">(L252-M252)*I252</f>
        <v>625.6377</v>
      </c>
      <c r="O252" s="5" t="n">
        <f aca="false">L252-M252+N252</f>
        <v>4796.5557</v>
      </c>
    </row>
    <row r="253" customFormat="false" ht="15" hidden="false" customHeight="false" outlineLevel="0" collapsed="false">
      <c r="A253" s="4" t="s">
        <v>592</v>
      </c>
      <c r="B253" s="9" t="n">
        <v>45767</v>
      </c>
      <c r="C253" s="4" t="s">
        <v>75</v>
      </c>
      <c r="D253" s="4" t="s">
        <v>210</v>
      </c>
      <c r="E253" s="4" t="n">
        <v>6</v>
      </c>
      <c r="F253" s="5" t="n">
        <f aca="false">INDEX(Products!$E:$E,MATCH(C253,Products!$A:$A,0))</f>
        <v>502.27</v>
      </c>
      <c r="G253" s="4" t="str">
        <f aca="false">INDEX(Products!$C:$C,MATCH(C253,Products!$A:$A,0))</f>
        <v>Office Supplies</v>
      </c>
      <c r="H253" s="4" t="str">
        <f aca="false">INDEX(Customers!$C:$C,MATCH(D253,Customers!$A:$A,0))</f>
        <v>R04</v>
      </c>
      <c r="I253" s="7" t="n">
        <f aca="false">INDEX(Regions!$C:$C,MATCH(H253,Regions!$A:$A,0))</f>
        <v>0.08</v>
      </c>
      <c r="J253" s="7" t="n">
        <f aca="false">INDEX(Regions!$D:$D,MATCH(H253,Regions!$A:$A,0))</f>
        <v>0.05</v>
      </c>
      <c r="K253" s="4" t="n">
        <f aca="false">INDEX(Regions!$E:$E,MATCH(H253,Regions!$A:$A,0))</f>
        <v>10</v>
      </c>
      <c r="L253" s="5" t="n">
        <f aca="false">E253*F253</f>
        <v>3013.62</v>
      </c>
      <c r="M253" s="5" t="n">
        <f aca="false">IF(E253&gt;=K253,L253*J253,0)</f>
        <v>0</v>
      </c>
      <c r="N253" s="5" t="n">
        <f aca="false">(L253-M253)*I253</f>
        <v>241.0896</v>
      </c>
      <c r="O253" s="5" t="n">
        <f aca="false">L253-M253+N253</f>
        <v>3254.7096</v>
      </c>
    </row>
    <row r="254" customFormat="false" ht="15" hidden="false" customHeight="false" outlineLevel="0" collapsed="false">
      <c r="A254" s="4" t="s">
        <v>593</v>
      </c>
      <c r="B254" s="9" t="n">
        <v>45756</v>
      </c>
      <c r="C254" s="4" t="s">
        <v>71</v>
      </c>
      <c r="D254" s="4" t="s">
        <v>302</v>
      </c>
      <c r="E254" s="4" t="n">
        <v>16</v>
      </c>
      <c r="F254" s="5" t="n">
        <f aca="false">INDEX(Products!$E:$E,MATCH(C254,Products!$A:$A,0))</f>
        <v>59.51</v>
      </c>
      <c r="G254" s="4" t="str">
        <f aca="false">INDEX(Products!$C:$C,MATCH(C254,Products!$A:$A,0))</f>
        <v>Electronics</v>
      </c>
      <c r="H254" s="4" t="str">
        <f aca="false">INDEX(Customers!$C:$C,MATCH(D254,Customers!$A:$A,0))</f>
        <v>R07</v>
      </c>
      <c r="I254" s="7" t="n">
        <f aca="false">INDEX(Regions!$C:$C,MATCH(H254,Regions!$A:$A,0))</f>
        <v>0.15</v>
      </c>
      <c r="J254" s="7" t="n">
        <f aca="false">INDEX(Regions!$D:$D,MATCH(H254,Regions!$A:$A,0))</f>
        <v>0.05</v>
      </c>
      <c r="K254" s="4" t="n">
        <f aca="false">INDEX(Regions!$E:$E,MATCH(H254,Regions!$A:$A,0))</f>
        <v>10</v>
      </c>
      <c r="L254" s="5" t="n">
        <f aca="false">E254*F254</f>
        <v>952.16</v>
      </c>
      <c r="M254" s="5" t="n">
        <f aca="false">IF(E254&gt;=K254,L254*J254,0)</f>
        <v>47.608</v>
      </c>
      <c r="N254" s="5" t="n">
        <f aca="false">(L254-M254)*I254</f>
        <v>135.6828</v>
      </c>
      <c r="O254" s="5" t="n">
        <f aca="false">L254-M254+N254</f>
        <v>1040.2348</v>
      </c>
    </row>
    <row r="255" customFormat="false" ht="15" hidden="false" customHeight="false" outlineLevel="0" collapsed="false">
      <c r="A255" s="4" t="s">
        <v>594</v>
      </c>
      <c r="B255" s="9" t="n">
        <v>45697</v>
      </c>
      <c r="C255" s="4" t="s">
        <v>58</v>
      </c>
      <c r="D255" s="4" t="s">
        <v>169</v>
      </c>
      <c r="E255" s="4" t="n">
        <v>5</v>
      </c>
      <c r="F255" s="5" t="n">
        <f aca="false">INDEX(Products!$E:$E,MATCH(C255,Products!$A:$A,0))</f>
        <v>459.72</v>
      </c>
      <c r="G255" s="4" t="str">
        <f aca="false">INDEX(Products!$C:$C,MATCH(C255,Products!$A:$A,0))</f>
        <v>Office Supplies</v>
      </c>
      <c r="H255" s="4" t="str">
        <f aca="false">INDEX(Customers!$C:$C,MATCH(D255,Customers!$A:$A,0))</f>
        <v>R05</v>
      </c>
      <c r="I255" s="7" t="n">
        <f aca="false">INDEX(Regions!$C:$C,MATCH(H255,Regions!$A:$A,0))</f>
        <v>0.0925</v>
      </c>
      <c r="J255" s="7" t="n">
        <f aca="false">INDEX(Regions!$D:$D,MATCH(H255,Regions!$A:$A,0))</f>
        <v>0.06</v>
      </c>
      <c r="K255" s="4" t="n">
        <f aca="false">INDEX(Regions!$E:$E,MATCH(H255,Regions!$A:$A,0))</f>
        <v>8</v>
      </c>
      <c r="L255" s="5" t="n">
        <f aca="false">E255*F255</f>
        <v>2298.6</v>
      </c>
      <c r="M255" s="5" t="n">
        <f aca="false">IF(E255&gt;=K255,L255*J255,0)</f>
        <v>0</v>
      </c>
      <c r="N255" s="5" t="n">
        <f aca="false">(L255-M255)*I255</f>
        <v>212.6205</v>
      </c>
      <c r="O255" s="5" t="n">
        <f aca="false">L255-M255+N255</f>
        <v>2511.2205</v>
      </c>
    </row>
    <row r="256" customFormat="false" ht="15" hidden="false" customHeight="false" outlineLevel="0" collapsed="false">
      <c r="A256" s="4" t="s">
        <v>595</v>
      </c>
      <c r="B256" s="9" t="n">
        <v>45709</v>
      </c>
      <c r="C256" s="4" t="s">
        <v>66</v>
      </c>
      <c r="D256" s="4" t="s">
        <v>317</v>
      </c>
      <c r="E256" s="4" t="n">
        <v>26</v>
      </c>
      <c r="F256" s="5" t="n">
        <f aca="false">INDEX(Products!$E:$E,MATCH(C256,Products!$A:$A,0))</f>
        <v>55.31</v>
      </c>
      <c r="G256" s="4" t="str">
        <f aca="false">INDEX(Products!$C:$C,MATCH(C256,Products!$A:$A,0))</f>
        <v>Outdoor</v>
      </c>
      <c r="H256" s="4" t="str">
        <f aca="false">INDEX(Customers!$C:$C,MATCH(D256,Customers!$A:$A,0))</f>
        <v>R02</v>
      </c>
      <c r="I256" s="7" t="n">
        <f aca="false">INDEX(Regions!$C:$C,MATCH(H256,Regions!$A:$A,0))</f>
        <v>0.07</v>
      </c>
      <c r="J256" s="7" t="n">
        <f aca="false">INDEX(Regions!$D:$D,MATCH(H256,Regions!$A:$A,0))</f>
        <v>0.04</v>
      </c>
      <c r="K256" s="4" t="n">
        <f aca="false">INDEX(Regions!$E:$E,MATCH(H256,Regions!$A:$A,0))</f>
        <v>12</v>
      </c>
      <c r="L256" s="5" t="n">
        <f aca="false">E256*F256</f>
        <v>1438.06</v>
      </c>
      <c r="M256" s="5" t="n">
        <f aca="false">IF(E256&gt;=K256,L256*J256,0)</f>
        <v>57.5224</v>
      </c>
      <c r="N256" s="5" t="n">
        <f aca="false">(L256-M256)*I256</f>
        <v>96.637632</v>
      </c>
      <c r="O256" s="5" t="n">
        <f aca="false">L256-M256+N256</f>
        <v>1477.175232</v>
      </c>
    </row>
    <row r="257" customFormat="false" ht="15" hidden="false" customHeight="false" outlineLevel="0" collapsed="false">
      <c r="A257" s="4" t="s">
        <v>596</v>
      </c>
      <c r="B257" s="9" t="n">
        <v>45927</v>
      </c>
      <c r="C257" s="4" t="s">
        <v>92</v>
      </c>
      <c r="D257" s="4" t="s">
        <v>302</v>
      </c>
      <c r="E257" s="4" t="n">
        <v>18</v>
      </c>
      <c r="F257" s="5" t="n">
        <f aca="false">INDEX(Products!$E:$E,MATCH(C257,Products!$A:$A,0))</f>
        <v>333.4</v>
      </c>
      <c r="G257" s="4" t="str">
        <f aca="false">INDEX(Products!$C:$C,MATCH(C257,Products!$A:$A,0))</f>
        <v>Outdoor</v>
      </c>
      <c r="H257" s="4" t="str">
        <f aca="false">INDEX(Customers!$C:$C,MATCH(D257,Customers!$A:$A,0))</f>
        <v>R07</v>
      </c>
      <c r="I257" s="7" t="n">
        <f aca="false">INDEX(Regions!$C:$C,MATCH(H257,Regions!$A:$A,0))</f>
        <v>0.15</v>
      </c>
      <c r="J257" s="7" t="n">
        <f aca="false">INDEX(Regions!$D:$D,MATCH(H257,Regions!$A:$A,0))</f>
        <v>0.05</v>
      </c>
      <c r="K257" s="4" t="n">
        <f aca="false">INDEX(Regions!$E:$E,MATCH(H257,Regions!$A:$A,0))</f>
        <v>10</v>
      </c>
      <c r="L257" s="5" t="n">
        <f aca="false">E257*F257</f>
        <v>6001.2</v>
      </c>
      <c r="M257" s="5" t="n">
        <f aca="false">IF(E257&gt;=K257,L257*J257,0)</f>
        <v>300.06</v>
      </c>
      <c r="N257" s="5" t="n">
        <f aca="false">(L257-M257)*I257</f>
        <v>855.171</v>
      </c>
      <c r="O257" s="5" t="n">
        <f aca="false">L257-M257+N257</f>
        <v>6556.311</v>
      </c>
    </row>
    <row r="258" customFormat="false" ht="15" hidden="false" customHeight="false" outlineLevel="0" collapsed="false">
      <c r="A258" s="4" t="s">
        <v>597</v>
      </c>
      <c r="B258" s="9" t="n">
        <v>45974</v>
      </c>
      <c r="C258" s="4" t="s">
        <v>32</v>
      </c>
      <c r="D258" s="4" t="s">
        <v>283</v>
      </c>
      <c r="E258" s="4" t="n">
        <v>11</v>
      </c>
      <c r="F258" s="5" t="n">
        <f aca="false">INDEX(Products!$E:$E,MATCH(C258,Products!$A:$A,0))</f>
        <v>112.96</v>
      </c>
      <c r="G258" s="4" t="str">
        <f aca="false">INDEX(Products!$C:$C,MATCH(C258,Products!$A:$A,0))</f>
        <v>Home &amp; Kitchen</v>
      </c>
      <c r="H258" s="4" t="str">
        <f aca="false">INDEX(Customers!$C:$C,MATCH(D258,Customers!$A:$A,0))</f>
        <v>R03</v>
      </c>
      <c r="I258" s="7" t="n">
        <f aca="false">INDEX(Regions!$C:$C,MATCH(H258,Regions!$A:$A,0))</f>
        <v>0.0625</v>
      </c>
      <c r="J258" s="7" t="n">
        <f aca="false">INDEX(Regions!$D:$D,MATCH(H258,Regions!$A:$A,0))</f>
        <v>0.03</v>
      </c>
      <c r="K258" s="4" t="n">
        <f aca="false">INDEX(Regions!$E:$E,MATCH(H258,Regions!$A:$A,0))</f>
        <v>15</v>
      </c>
      <c r="L258" s="5" t="n">
        <f aca="false">E258*F258</f>
        <v>1242.56</v>
      </c>
      <c r="M258" s="5" t="n">
        <f aca="false">IF(E258&gt;=K258,L258*J258,0)</f>
        <v>0</v>
      </c>
      <c r="N258" s="5" t="n">
        <f aca="false">(L258-M258)*I258</f>
        <v>77.66</v>
      </c>
      <c r="O258" s="5" t="n">
        <f aca="false">L258-M258+N258</f>
        <v>1320.22</v>
      </c>
    </row>
    <row r="259" customFormat="false" ht="15" hidden="false" customHeight="false" outlineLevel="0" collapsed="false">
      <c r="A259" s="4" t="s">
        <v>598</v>
      </c>
      <c r="B259" s="9" t="n">
        <v>45736</v>
      </c>
      <c r="C259" s="4" t="s">
        <v>46</v>
      </c>
      <c r="D259" s="4" t="s">
        <v>271</v>
      </c>
      <c r="E259" s="4" t="n">
        <v>13</v>
      </c>
      <c r="F259" s="5" t="n">
        <f aca="false">INDEX(Products!$E:$E,MATCH(C259,Products!$A:$A,0))</f>
        <v>37.16</v>
      </c>
      <c r="G259" s="4" t="str">
        <f aca="false">INDEX(Products!$C:$C,MATCH(C259,Products!$A:$A,0))</f>
        <v>Outdoor</v>
      </c>
      <c r="H259" s="4" t="str">
        <f aca="false">INDEX(Customers!$C:$C,MATCH(D259,Customers!$A:$A,0))</f>
        <v>R03</v>
      </c>
      <c r="I259" s="7" t="n">
        <f aca="false">INDEX(Regions!$C:$C,MATCH(H259,Regions!$A:$A,0))</f>
        <v>0.0625</v>
      </c>
      <c r="J259" s="7" t="n">
        <f aca="false">INDEX(Regions!$D:$D,MATCH(H259,Regions!$A:$A,0))</f>
        <v>0.03</v>
      </c>
      <c r="K259" s="4" t="n">
        <f aca="false">INDEX(Regions!$E:$E,MATCH(H259,Regions!$A:$A,0))</f>
        <v>15</v>
      </c>
      <c r="L259" s="5" t="n">
        <f aca="false">E259*F259</f>
        <v>483.08</v>
      </c>
      <c r="M259" s="5" t="n">
        <f aca="false">IF(E259&gt;=K259,L259*J259,0)</f>
        <v>0</v>
      </c>
      <c r="N259" s="5" t="n">
        <f aca="false">(L259-M259)*I259</f>
        <v>30.1925</v>
      </c>
      <c r="O259" s="5" t="n">
        <f aca="false">L259-M259+N259</f>
        <v>513.2725</v>
      </c>
    </row>
    <row r="260" customFormat="false" ht="15" hidden="false" customHeight="false" outlineLevel="0" collapsed="false">
      <c r="A260" s="4" t="s">
        <v>599</v>
      </c>
      <c r="B260" s="9" t="n">
        <v>46012</v>
      </c>
      <c r="C260" s="4" t="s">
        <v>50</v>
      </c>
      <c r="D260" s="4" t="s">
        <v>180</v>
      </c>
      <c r="E260" s="4" t="n">
        <v>27</v>
      </c>
      <c r="F260" s="5" t="n">
        <f aca="false">INDEX(Products!$E:$E,MATCH(C260,Products!$A:$A,0))</f>
        <v>508.17</v>
      </c>
      <c r="G260" s="4" t="str">
        <f aca="false">INDEX(Products!$C:$C,MATCH(C260,Products!$A:$A,0))</f>
        <v>Office Supplies</v>
      </c>
      <c r="H260" s="4" t="str">
        <f aca="false">INDEX(Customers!$C:$C,MATCH(D260,Customers!$A:$A,0))</f>
        <v>R05</v>
      </c>
      <c r="I260" s="7" t="n">
        <f aca="false">INDEX(Regions!$C:$C,MATCH(H260,Regions!$A:$A,0))</f>
        <v>0.0925</v>
      </c>
      <c r="J260" s="7" t="n">
        <f aca="false">INDEX(Regions!$D:$D,MATCH(H260,Regions!$A:$A,0))</f>
        <v>0.06</v>
      </c>
      <c r="K260" s="4" t="n">
        <f aca="false">INDEX(Regions!$E:$E,MATCH(H260,Regions!$A:$A,0))</f>
        <v>8</v>
      </c>
      <c r="L260" s="5" t="n">
        <f aca="false">E260*F260</f>
        <v>13720.59</v>
      </c>
      <c r="M260" s="5" t="n">
        <f aca="false">IF(E260&gt;=K260,L260*J260,0)</f>
        <v>823.2354</v>
      </c>
      <c r="N260" s="5" t="n">
        <f aca="false">(L260-M260)*I260</f>
        <v>1193.0053005</v>
      </c>
      <c r="O260" s="5" t="n">
        <f aca="false">L260-M260+N260</f>
        <v>14090.3599005</v>
      </c>
    </row>
    <row r="261" customFormat="false" ht="15" hidden="false" customHeight="false" outlineLevel="0" collapsed="false">
      <c r="A261" s="4" t="s">
        <v>600</v>
      </c>
      <c r="B261" s="9" t="n">
        <v>45742</v>
      </c>
      <c r="C261" s="4" t="s">
        <v>105</v>
      </c>
      <c r="D261" s="4" t="s">
        <v>309</v>
      </c>
      <c r="E261" s="4" t="n">
        <v>29</v>
      </c>
      <c r="F261" s="5" t="n">
        <f aca="false">INDEX(Products!$E:$E,MATCH(C261,Products!$A:$A,0))</f>
        <v>216.46</v>
      </c>
      <c r="G261" s="4" t="str">
        <f aca="false">INDEX(Products!$C:$C,MATCH(C261,Products!$A:$A,0))</f>
        <v>Apparel</v>
      </c>
      <c r="H261" s="4" t="str">
        <f aca="false">INDEX(Customers!$C:$C,MATCH(D261,Customers!$A:$A,0))</f>
        <v>R08</v>
      </c>
      <c r="I261" s="7" t="n">
        <f aca="false">INDEX(Regions!$C:$C,MATCH(H261,Regions!$A:$A,0))</f>
        <v>0.12</v>
      </c>
      <c r="J261" s="7" t="n">
        <f aca="false">INDEX(Regions!$D:$D,MATCH(H261,Regions!$A:$A,0))</f>
        <v>0.04</v>
      </c>
      <c r="K261" s="4" t="n">
        <f aca="false">INDEX(Regions!$E:$E,MATCH(H261,Regions!$A:$A,0))</f>
        <v>12</v>
      </c>
      <c r="L261" s="5" t="n">
        <f aca="false">E261*F261</f>
        <v>6277.34</v>
      </c>
      <c r="M261" s="5" t="n">
        <f aca="false">IF(E261&gt;=K261,L261*J261,0)</f>
        <v>251.0936</v>
      </c>
      <c r="N261" s="5" t="n">
        <f aca="false">(L261-M261)*I261</f>
        <v>723.149568</v>
      </c>
      <c r="O261" s="5" t="n">
        <f aca="false">L261-M261+N261</f>
        <v>6749.395968</v>
      </c>
    </row>
    <row r="262" customFormat="false" ht="15" hidden="false" customHeight="false" outlineLevel="0" collapsed="false">
      <c r="A262" s="4" t="s">
        <v>601</v>
      </c>
      <c r="B262" s="9" t="n">
        <v>45844</v>
      </c>
      <c r="C262" s="4" t="s">
        <v>84</v>
      </c>
      <c r="D262" s="4" t="s">
        <v>144</v>
      </c>
      <c r="E262" s="4" t="n">
        <v>14</v>
      </c>
      <c r="F262" s="5" t="n">
        <f aca="false">INDEX(Products!$E:$E,MATCH(C262,Products!$A:$A,0))</f>
        <v>338.07</v>
      </c>
      <c r="G262" s="4" t="str">
        <f aca="false">INDEX(Products!$C:$C,MATCH(C262,Products!$A:$A,0))</f>
        <v>Office Supplies</v>
      </c>
      <c r="H262" s="4" t="str">
        <f aca="false">INDEX(Customers!$C:$C,MATCH(D262,Customers!$A:$A,0))</f>
        <v>R08</v>
      </c>
      <c r="I262" s="7" t="n">
        <f aca="false">INDEX(Regions!$C:$C,MATCH(H262,Regions!$A:$A,0))</f>
        <v>0.12</v>
      </c>
      <c r="J262" s="7" t="n">
        <f aca="false">INDEX(Regions!$D:$D,MATCH(H262,Regions!$A:$A,0))</f>
        <v>0.04</v>
      </c>
      <c r="K262" s="4" t="n">
        <f aca="false">INDEX(Regions!$E:$E,MATCH(H262,Regions!$A:$A,0))</f>
        <v>12</v>
      </c>
      <c r="L262" s="5" t="n">
        <f aca="false">E262*F262</f>
        <v>4732.98</v>
      </c>
      <c r="M262" s="5" t="n">
        <f aca="false">IF(E262&gt;=K262,L262*J262,0)</f>
        <v>189.3192</v>
      </c>
      <c r="N262" s="5" t="n">
        <f aca="false">(L262-M262)*I262</f>
        <v>545.239296</v>
      </c>
      <c r="O262" s="5" t="n">
        <f aca="false">L262-M262+N262</f>
        <v>5088.900096</v>
      </c>
    </row>
    <row r="263" customFormat="false" ht="15" hidden="false" customHeight="false" outlineLevel="0" collapsed="false">
      <c r="A263" s="4" t="s">
        <v>602</v>
      </c>
      <c r="B263" s="9" t="n">
        <v>45803</v>
      </c>
      <c r="C263" s="4" t="s">
        <v>60</v>
      </c>
      <c r="D263" s="4" t="s">
        <v>240</v>
      </c>
      <c r="E263" s="4" t="n">
        <v>20</v>
      </c>
      <c r="F263" s="5" t="n">
        <f aca="false">INDEX(Products!$E:$E,MATCH(C263,Products!$A:$A,0))</f>
        <v>420.29</v>
      </c>
      <c r="G263" s="4" t="str">
        <f aca="false">INDEX(Products!$C:$C,MATCH(C263,Products!$A:$A,0))</f>
        <v>Office Supplies</v>
      </c>
      <c r="H263" s="4" t="str">
        <f aca="false">INDEX(Customers!$C:$C,MATCH(D263,Customers!$A:$A,0))</f>
        <v>R06</v>
      </c>
      <c r="I263" s="7" t="n">
        <f aca="false">INDEX(Regions!$C:$C,MATCH(H263,Regions!$A:$A,0))</f>
        <v>0.06</v>
      </c>
      <c r="J263" s="7" t="n">
        <f aca="false">INDEX(Regions!$D:$D,MATCH(H263,Regions!$A:$A,0))</f>
        <v>0.04</v>
      </c>
      <c r="K263" s="4" t="n">
        <f aca="false">INDEX(Regions!$E:$E,MATCH(H263,Regions!$A:$A,0))</f>
        <v>12</v>
      </c>
      <c r="L263" s="5" t="n">
        <f aca="false">E263*F263</f>
        <v>8405.8</v>
      </c>
      <c r="M263" s="5" t="n">
        <f aca="false">IF(E263&gt;=K263,L263*J263,0)</f>
        <v>336.232</v>
      </c>
      <c r="N263" s="5" t="n">
        <f aca="false">(L263-M263)*I263</f>
        <v>484.17408</v>
      </c>
      <c r="O263" s="5" t="n">
        <f aca="false">L263-M263+N263</f>
        <v>8553.74208</v>
      </c>
    </row>
    <row r="264" customFormat="false" ht="15" hidden="false" customHeight="false" outlineLevel="0" collapsed="false">
      <c r="A264" s="4" t="s">
        <v>603</v>
      </c>
      <c r="B264" s="9" t="n">
        <v>45780</v>
      </c>
      <c r="C264" s="4" t="s">
        <v>84</v>
      </c>
      <c r="D264" s="4" t="s">
        <v>191</v>
      </c>
      <c r="E264" s="4" t="n">
        <v>18</v>
      </c>
      <c r="F264" s="5" t="n">
        <f aca="false">INDEX(Products!$E:$E,MATCH(C264,Products!$A:$A,0))</f>
        <v>338.07</v>
      </c>
      <c r="G264" s="4" t="str">
        <f aca="false">INDEX(Products!$C:$C,MATCH(C264,Products!$A:$A,0))</f>
        <v>Office Supplies</v>
      </c>
      <c r="H264" s="4" t="str">
        <f aca="false">INDEX(Customers!$C:$C,MATCH(D264,Customers!$A:$A,0))</f>
        <v>R07</v>
      </c>
      <c r="I264" s="7" t="n">
        <f aca="false">INDEX(Regions!$C:$C,MATCH(H264,Regions!$A:$A,0))</f>
        <v>0.15</v>
      </c>
      <c r="J264" s="7" t="n">
        <f aca="false">INDEX(Regions!$D:$D,MATCH(H264,Regions!$A:$A,0))</f>
        <v>0.05</v>
      </c>
      <c r="K264" s="4" t="n">
        <f aca="false">INDEX(Regions!$E:$E,MATCH(H264,Regions!$A:$A,0))</f>
        <v>10</v>
      </c>
      <c r="L264" s="5" t="n">
        <f aca="false">E264*F264</f>
        <v>6085.26</v>
      </c>
      <c r="M264" s="5" t="n">
        <f aca="false">IF(E264&gt;=K264,L264*J264,0)</f>
        <v>304.263</v>
      </c>
      <c r="N264" s="5" t="n">
        <f aca="false">(L264-M264)*I264</f>
        <v>867.14955</v>
      </c>
      <c r="O264" s="5" t="n">
        <f aca="false">L264-M264+N264</f>
        <v>6648.14655</v>
      </c>
    </row>
    <row r="265" customFormat="false" ht="15" hidden="false" customHeight="false" outlineLevel="0" collapsed="false">
      <c r="A265" s="4" t="s">
        <v>604</v>
      </c>
      <c r="B265" s="9" t="n">
        <v>45898</v>
      </c>
      <c r="C265" s="4" t="s">
        <v>67</v>
      </c>
      <c r="D265" s="4" t="s">
        <v>309</v>
      </c>
      <c r="E265" s="4" t="n">
        <v>26</v>
      </c>
      <c r="F265" s="5" t="n">
        <f aca="false">INDEX(Products!$E:$E,MATCH(C265,Products!$A:$A,0))</f>
        <v>198.43</v>
      </c>
      <c r="G265" s="4" t="str">
        <f aca="false">INDEX(Products!$C:$C,MATCH(C265,Products!$A:$A,0))</f>
        <v>Apparel</v>
      </c>
      <c r="H265" s="4" t="str">
        <f aca="false">INDEX(Customers!$C:$C,MATCH(D265,Customers!$A:$A,0))</f>
        <v>R08</v>
      </c>
      <c r="I265" s="7" t="n">
        <f aca="false">INDEX(Regions!$C:$C,MATCH(H265,Regions!$A:$A,0))</f>
        <v>0.12</v>
      </c>
      <c r="J265" s="7" t="n">
        <f aca="false">INDEX(Regions!$D:$D,MATCH(H265,Regions!$A:$A,0))</f>
        <v>0.04</v>
      </c>
      <c r="K265" s="4" t="n">
        <f aca="false">INDEX(Regions!$E:$E,MATCH(H265,Regions!$A:$A,0))</f>
        <v>12</v>
      </c>
      <c r="L265" s="5" t="n">
        <f aca="false">E265*F265</f>
        <v>5159.18</v>
      </c>
      <c r="M265" s="5" t="n">
        <f aca="false">IF(E265&gt;=K265,L265*J265,0)</f>
        <v>206.3672</v>
      </c>
      <c r="N265" s="5" t="n">
        <f aca="false">(L265-M265)*I265</f>
        <v>594.337536</v>
      </c>
      <c r="O265" s="5" t="n">
        <f aca="false">L265-M265+N265</f>
        <v>5547.150336</v>
      </c>
    </row>
    <row r="266" customFormat="false" ht="15" hidden="false" customHeight="false" outlineLevel="0" collapsed="false">
      <c r="A266" s="4" t="s">
        <v>605</v>
      </c>
      <c r="B266" s="9" t="n">
        <v>45950</v>
      </c>
      <c r="C266" s="4" t="s">
        <v>54</v>
      </c>
      <c r="D266" s="4" t="s">
        <v>224</v>
      </c>
      <c r="E266" s="4" t="n">
        <v>22</v>
      </c>
      <c r="F266" s="5" t="n">
        <f aca="false">INDEX(Products!$E:$E,MATCH(C266,Products!$A:$A,0))</f>
        <v>84.7</v>
      </c>
      <c r="G266" s="4" t="str">
        <f aca="false">INDEX(Products!$C:$C,MATCH(C266,Products!$A:$A,0))</f>
        <v>Office Supplies</v>
      </c>
      <c r="H266" s="4" t="str">
        <f aca="false">INDEX(Customers!$C:$C,MATCH(D266,Customers!$A:$A,0))</f>
        <v>R01</v>
      </c>
      <c r="I266" s="7" t="n">
        <f aca="false">INDEX(Regions!$C:$C,MATCH(H266,Regions!$A:$A,0))</f>
        <v>0.0825</v>
      </c>
      <c r="J266" s="7" t="n">
        <f aca="false">INDEX(Regions!$D:$D,MATCH(H266,Regions!$A:$A,0))</f>
        <v>0.05</v>
      </c>
      <c r="K266" s="4" t="n">
        <f aca="false">INDEX(Regions!$E:$E,MATCH(H266,Regions!$A:$A,0))</f>
        <v>10</v>
      </c>
      <c r="L266" s="5" t="n">
        <f aca="false">E266*F266</f>
        <v>1863.4</v>
      </c>
      <c r="M266" s="5" t="n">
        <f aca="false">IF(E266&gt;=K266,L266*J266,0)</f>
        <v>93.17</v>
      </c>
      <c r="N266" s="5" t="n">
        <f aca="false">(L266-M266)*I266</f>
        <v>146.043975</v>
      </c>
      <c r="O266" s="5" t="n">
        <f aca="false">L266-M266+N266</f>
        <v>1916.273975</v>
      </c>
    </row>
    <row r="267" customFormat="false" ht="15" hidden="false" customHeight="false" outlineLevel="0" collapsed="false">
      <c r="A267" s="4" t="s">
        <v>606</v>
      </c>
      <c r="B267" s="9" t="n">
        <v>45802</v>
      </c>
      <c r="C267" s="4" t="s">
        <v>84</v>
      </c>
      <c r="D267" s="4" t="s">
        <v>244</v>
      </c>
      <c r="E267" s="4" t="n">
        <v>25</v>
      </c>
      <c r="F267" s="5" t="n">
        <f aca="false">INDEX(Products!$E:$E,MATCH(C267,Products!$A:$A,0))</f>
        <v>338.07</v>
      </c>
      <c r="G267" s="4" t="str">
        <f aca="false">INDEX(Products!$C:$C,MATCH(C267,Products!$A:$A,0))</f>
        <v>Office Supplies</v>
      </c>
      <c r="H267" s="4" t="str">
        <f aca="false">INDEX(Customers!$C:$C,MATCH(D267,Customers!$A:$A,0))</f>
        <v>R07</v>
      </c>
      <c r="I267" s="7" t="n">
        <f aca="false">INDEX(Regions!$C:$C,MATCH(H267,Regions!$A:$A,0))</f>
        <v>0.15</v>
      </c>
      <c r="J267" s="7" t="n">
        <f aca="false">INDEX(Regions!$D:$D,MATCH(H267,Regions!$A:$A,0))</f>
        <v>0.05</v>
      </c>
      <c r="K267" s="4" t="n">
        <f aca="false">INDEX(Regions!$E:$E,MATCH(H267,Regions!$A:$A,0))</f>
        <v>10</v>
      </c>
      <c r="L267" s="5" t="n">
        <f aca="false">E267*F267</f>
        <v>8451.75</v>
      </c>
      <c r="M267" s="5" t="n">
        <f aca="false">IF(E267&gt;=K267,L267*J267,0)</f>
        <v>422.5875</v>
      </c>
      <c r="N267" s="5" t="n">
        <f aca="false">(L267-M267)*I267</f>
        <v>1204.374375</v>
      </c>
      <c r="O267" s="5" t="n">
        <f aca="false">L267-M267+N267</f>
        <v>9233.536875</v>
      </c>
    </row>
    <row r="268" customFormat="false" ht="15" hidden="false" customHeight="false" outlineLevel="0" collapsed="false">
      <c r="A268" s="4" t="s">
        <v>607</v>
      </c>
      <c r="B268" s="9" t="n">
        <v>45872</v>
      </c>
      <c r="C268" s="4" t="s">
        <v>77</v>
      </c>
      <c r="D268" s="4" t="s">
        <v>252</v>
      </c>
      <c r="E268" s="4" t="n">
        <v>17</v>
      </c>
      <c r="F268" s="5" t="n">
        <f aca="false">INDEX(Products!$E:$E,MATCH(C268,Products!$A:$A,0))</f>
        <v>302.78</v>
      </c>
      <c r="G268" s="4" t="str">
        <f aca="false">INDEX(Products!$C:$C,MATCH(C268,Products!$A:$A,0))</f>
        <v>Electronics</v>
      </c>
      <c r="H268" s="4" t="str">
        <f aca="false">INDEX(Customers!$C:$C,MATCH(D268,Customers!$A:$A,0))</f>
        <v>R06</v>
      </c>
      <c r="I268" s="7" t="n">
        <f aca="false">INDEX(Regions!$C:$C,MATCH(H268,Regions!$A:$A,0))</f>
        <v>0.06</v>
      </c>
      <c r="J268" s="7" t="n">
        <f aca="false">INDEX(Regions!$D:$D,MATCH(H268,Regions!$A:$A,0))</f>
        <v>0.04</v>
      </c>
      <c r="K268" s="4" t="n">
        <f aca="false">INDEX(Regions!$E:$E,MATCH(H268,Regions!$A:$A,0))</f>
        <v>12</v>
      </c>
      <c r="L268" s="5" t="n">
        <f aca="false">E268*F268</f>
        <v>5147.26</v>
      </c>
      <c r="M268" s="5" t="n">
        <f aca="false">IF(E268&gt;=K268,L268*J268,0)</f>
        <v>205.8904</v>
      </c>
      <c r="N268" s="5" t="n">
        <f aca="false">(L268-M268)*I268</f>
        <v>296.482176</v>
      </c>
      <c r="O268" s="5" t="n">
        <f aca="false">L268-M268+N268</f>
        <v>5237.851776</v>
      </c>
    </row>
    <row r="269" customFormat="false" ht="15" hidden="false" customHeight="false" outlineLevel="0" collapsed="false">
      <c r="A269" s="4" t="s">
        <v>608</v>
      </c>
      <c r="B269" s="9" t="n">
        <v>45967</v>
      </c>
      <c r="C269" s="4" t="s">
        <v>50</v>
      </c>
      <c r="D269" s="4" t="s">
        <v>310</v>
      </c>
      <c r="E269" s="4" t="n">
        <v>7</v>
      </c>
      <c r="F269" s="5" t="n">
        <f aca="false">INDEX(Products!$E:$E,MATCH(C269,Products!$A:$A,0))</f>
        <v>508.17</v>
      </c>
      <c r="G269" s="4" t="str">
        <f aca="false">INDEX(Products!$C:$C,MATCH(C269,Products!$A:$A,0))</f>
        <v>Office Supplies</v>
      </c>
      <c r="H269" s="4" t="str">
        <f aca="false">INDEX(Customers!$C:$C,MATCH(D269,Customers!$A:$A,0))</f>
        <v>R04</v>
      </c>
      <c r="I269" s="7" t="n">
        <f aca="false">INDEX(Regions!$C:$C,MATCH(H269,Regions!$A:$A,0))</f>
        <v>0.08</v>
      </c>
      <c r="J269" s="7" t="n">
        <f aca="false">INDEX(Regions!$D:$D,MATCH(H269,Regions!$A:$A,0))</f>
        <v>0.05</v>
      </c>
      <c r="K269" s="4" t="n">
        <f aca="false">INDEX(Regions!$E:$E,MATCH(H269,Regions!$A:$A,0))</f>
        <v>10</v>
      </c>
      <c r="L269" s="5" t="n">
        <f aca="false">E269*F269</f>
        <v>3557.19</v>
      </c>
      <c r="M269" s="5" t="n">
        <f aca="false">IF(E269&gt;=K269,L269*J269,0)</f>
        <v>0</v>
      </c>
      <c r="N269" s="5" t="n">
        <f aca="false">(L269-M269)*I269</f>
        <v>284.5752</v>
      </c>
      <c r="O269" s="5" t="n">
        <f aca="false">L269-M269+N269</f>
        <v>3841.7652</v>
      </c>
    </row>
    <row r="270" customFormat="false" ht="15" hidden="false" customHeight="false" outlineLevel="0" collapsed="false">
      <c r="A270" s="4" t="s">
        <v>609</v>
      </c>
      <c r="B270" s="9" t="n">
        <v>45684</v>
      </c>
      <c r="C270" s="4" t="s">
        <v>46</v>
      </c>
      <c r="D270" s="4" t="s">
        <v>320</v>
      </c>
      <c r="E270" s="4" t="n">
        <v>9</v>
      </c>
      <c r="F270" s="5" t="n">
        <f aca="false">INDEX(Products!$E:$E,MATCH(C270,Products!$A:$A,0))</f>
        <v>37.16</v>
      </c>
      <c r="G270" s="4" t="str">
        <f aca="false">INDEX(Products!$C:$C,MATCH(C270,Products!$A:$A,0))</f>
        <v>Outdoor</v>
      </c>
      <c r="H270" s="4" t="str">
        <f aca="false">INDEX(Customers!$C:$C,MATCH(D270,Customers!$A:$A,0))</f>
        <v>R06</v>
      </c>
      <c r="I270" s="7" t="n">
        <f aca="false">INDEX(Regions!$C:$C,MATCH(H270,Regions!$A:$A,0))</f>
        <v>0.06</v>
      </c>
      <c r="J270" s="7" t="n">
        <f aca="false">INDEX(Regions!$D:$D,MATCH(H270,Regions!$A:$A,0))</f>
        <v>0.04</v>
      </c>
      <c r="K270" s="4" t="n">
        <f aca="false">INDEX(Regions!$E:$E,MATCH(H270,Regions!$A:$A,0))</f>
        <v>12</v>
      </c>
      <c r="L270" s="5" t="n">
        <f aca="false">E270*F270</f>
        <v>334.44</v>
      </c>
      <c r="M270" s="5" t="n">
        <f aca="false">IF(E270&gt;=K270,L270*J270,0)</f>
        <v>0</v>
      </c>
      <c r="N270" s="5" t="n">
        <f aca="false">(L270-M270)*I270</f>
        <v>20.0664</v>
      </c>
      <c r="O270" s="5" t="n">
        <f aca="false">L270-M270+N270</f>
        <v>354.5064</v>
      </c>
    </row>
    <row r="271" customFormat="false" ht="15" hidden="false" customHeight="false" outlineLevel="0" collapsed="false">
      <c r="A271" s="4" t="s">
        <v>610</v>
      </c>
      <c r="B271" s="9" t="n">
        <v>45941</v>
      </c>
      <c r="C271" s="4" t="s">
        <v>88</v>
      </c>
      <c r="D271" s="4" t="s">
        <v>320</v>
      </c>
      <c r="E271" s="4" t="n">
        <v>12</v>
      </c>
      <c r="F271" s="5" t="n">
        <f aca="false">INDEX(Products!$E:$E,MATCH(C271,Products!$A:$A,0))</f>
        <v>94.16</v>
      </c>
      <c r="G271" s="4" t="str">
        <f aca="false">INDEX(Products!$C:$C,MATCH(C271,Products!$A:$A,0))</f>
        <v>Office Supplies</v>
      </c>
      <c r="H271" s="4" t="str">
        <f aca="false">INDEX(Customers!$C:$C,MATCH(D271,Customers!$A:$A,0))</f>
        <v>R06</v>
      </c>
      <c r="I271" s="7" t="n">
        <f aca="false">INDEX(Regions!$C:$C,MATCH(H271,Regions!$A:$A,0))</f>
        <v>0.06</v>
      </c>
      <c r="J271" s="7" t="n">
        <f aca="false">INDEX(Regions!$D:$D,MATCH(H271,Regions!$A:$A,0))</f>
        <v>0.04</v>
      </c>
      <c r="K271" s="4" t="n">
        <f aca="false">INDEX(Regions!$E:$E,MATCH(H271,Regions!$A:$A,0))</f>
        <v>12</v>
      </c>
      <c r="L271" s="5" t="n">
        <f aca="false">E271*F271</f>
        <v>1129.92</v>
      </c>
      <c r="M271" s="5" t="n">
        <f aca="false">IF(E271&gt;=K271,L271*J271,0)</f>
        <v>45.1968</v>
      </c>
      <c r="N271" s="5" t="n">
        <f aca="false">(L271-M271)*I271</f>
        <v>65.083392</v>
      </c>
      <c r="O271" s="5" t="n">
        <f aca="false">L271-M271+N271</f>
        <v>1149.806592</v>
      </c>
    </row>
    <row r="272" customFormat="false" ht="15" hidden="false" customHeight="false" outlineLevel="0" collapsed="false">
      <c r="A272" s="4" t="s">
        <v>611</v>
      </c>
      <c r="B272" s="9" t="n">
        <v>45922</v>
      </c>
      <c r="C272" s="4" t="s">
        <v>42</v>
      </c>
      <c r="D272" s="4" t="s">
        <v>293</v>
      </c>
      <c r="E272" s="4" t="n">
        <v>28</v>
      </c>
      <c r="F272" s="5" t="n">
        <f aca="false">INDEX(Products!$E:$E,MATCH(C272,Products!$A:$A,0))</f>
        <v>156.05</v>
      </c>
      <c r="G272" s="4" t="str">
        <f aca="false">INDEX(Products!$C:$C,MATCH(C272,Products!$A:$A,0))</f>
        <v>Electronics</v>
      </c>
      <c r="H272" s="4" t="str">
        <f aca="false">INDEX(Customers!$C:$C,MATCH(D272,Customers!$A:$A,0))</f>
        <v>R07</v>
      </c>
      <c r="I272" s="7" t="n">
        <f aca="false">INDEX(Regions!$C:$C,MATCH(H272,Regions!$A:$A,0))</f>
        <v>0.15</v>
      </c>
      <c r="J272" s="7" t="n">
        <f aca="false">INDEX(Regions!$D:$D,MATCH(H272,Regions!$A:$A,0))</f>
        <v>0.05</v>
      </c>
      <c r="K272" s="4" t="n">
        <f aca="false">INDEX(Regions!$E:$E,MATCH(H272,Regions!$A:$A,0))</f>
        <v>10</v>
      </c>
      <c r="L272" s="5" t="n">
        <f aca="false">E272*F272</f>
        <v>4369.4</v>
      </c>
      <c r="M272" s="5" t="n">
        <f aca="false">IF(E272&gt;=K272,L272*J272,0)</f>
        <v>218.47</v>
      </c>
      <c r="N272" s="5" t="n">
        <f aca="false">(L272-M272)*I272</f>
        <v>622.6395</v>
      </c>
      <c r="O272" s="5" t="n">
        <f aca="false">L272-M272+N272</f>
        <v>4773.5695</v>
      </c>
    </row>
    <row r="273" customFormat="false" ht="15" hidden="false" customHeight="false" outlineLevel="0" collapsed="false">
      <c r="A273" s="4" t="s">
        <v>612</v>
      </c>
      <c r="B273" s="9" t="n">
        <v>45740</v>
      </c>
      <c r="C273" s="4" t="s">
        <v>44</v>
      </c>
      <c r="D273" s="4" t="s">
        <v>205</v>
      </c>
      <c r="E273" s="4" t="n">
        <v>3</v>
      </c>
      <c r="F273" s="5" t="n">
        <f aca="false">INDEX(Products!$E:$E,MATCH(C273,Products!$A:$A,0))</f>
        <v>393.99</v>
      </c>
      <c r="G273" s="4" t="str">
        <f aca="false">INDEX(Products!$C:$C,MATCH(C273,Products!$A:$A,0))</f>
        <v>Office Supplies</v>
      </c>
      <c r="H273" s="4" t="str">
        <f aca="false">INDEX(Customers!$C:$C,MATCH(D273,Customers!$A:$A,0))</f>
        <v>R03</v>
      </c>
      <c r="I273" s="7" t="n">
        <f aca="false">INDEX(Regions!$C:$C,MATCH(H273,Regions!$A:$A,0))</f>
        <v>0.0625</v>
      </c>
      <c r="J273" s="7" t="n">
        <f aca="false">INDEX(Regions!$D:$D,MATCH(H273,Regions!$A:$A,0))</f>
        <v>0.03</v>
      </c>
      <c r="K273" s="4" t="n">
        <f aca="false">INDEX(Regions!$E:$E,MATCH(H273,Regions!$A:$A,0))</f>
        <v>15</v>
      </c>
      <c r="L273" s="5" t="n">
        <f aca="false">E273*F273</f>
        <v>1181.97</v>
      </c>
      <c r="M273" s="5" t="n">
        <f aca="false">IF(E273&gt;=K273,L273*J273,0)</f>
        <v>0</v>
      </c>
      <c r="N273" s="5" t="n">
        <f aca="false">(L273-M273)*I273</f>
        <v>73.873125</v>
      </c>
      <c r="O273" s="5" t="n">
        <f aca="false">L273-M273+N273</f>
        <v>1255.843125</v>
      </c>
    </row>
    <row r="274" customFormat="false" ht="15" hidden="false" customHeight="false" outlineLevel="0" collapsed="false">
      <c r="A274" s="4" t="s">
        <v>613</v>
      </c>
      <c r="B274" s="9" t="n">
        <v>45920</v>
      </c>
      <c r="C274" s="4" t="s">
        <v>64</v>
      </c>
      <c r="D274" s="4" t="s">
        <v>241</v>
      </c>
      <c r="E274" s="4" t="n">
        <v>29</v>
      </c>
      <c r="F274" s="5" t="n">
        <f aca="false">INDEX(Products!$E:$E,MATCH(C274,Products!$A:$A,0))</f>
        <v>340.32</v>
      </c>
      <c r="G274" s="4" t="str">
        <f aca="false">INDEX(Products!$C:$C,MATCH(C274,Products!$A:$A,0))</f>
        <v>Apparel</v>
      </c>
      <c r="H274" s="4" t="str">
        <f aca="false">INDEX(Customers!$C:$C,MATCH(D274,Customers!$A:$A,0))</f>
        <v>R04</v>
      </c>
      <c r="I274" s="7" t="n">
        <f aca="false">INDEX(Regions!$C:$C,MATCH(H274,Regions!$A:$A,0))</f>
        <v>0.08</v>
      </c>
      <c r="J274" s="7" t="n">
        <f aca="false">INDEX(Regions!$D:$D,MATCH(H274,Regions!$A:$A,0))</f>
        <v>0.05</v>
      </c>
      <c r="K274" s="4" t="n">
        <f aca="false">INDEX(Regions!$E:$E,MATCH(H274,Regions!$A:$A,0))</f>
        <v>10</v>
      </c>
      <c r="L274" s="5" t="n">
        <f aca="false">E274*F274</f>
        <v>9869.28</v>
      </c>
      <c r="M274" s="5" t="n">
        <f aca="false">IF(E274&gt;=K274,L274*J274,0)</f>
        <v>493.464</v>
      </c>
      <c r="N274" s="5" t="n">
        <f aca="false">(L274-M274)*I274</f>
        <v>750.06528</v>
      </c>
      <c r="O274" s="5" t="n">
        <f aca="false">L274-M274+N274</f>
        <v>10125.88128</v>
      </c>
    </row>
    <row r="275" customFormat="false" ht="15" hidden="false" customHeight="false" outlineLevel="0" collapsed="false">
      <c r="A275" s="4" t="s">
        <v>614</v>
      </c>
      <c r="B275" s="9" t="n">
        <v>45704</v>
      </c>
      <c r="C275" s="4" t="s">
        <v>49</v>
      </c>
      <c r="D275" s="4" t="s">
        <v>313</v>
      </c>
      <c r="E275" s="4" t="n">
        <v>14</v>
      </c>
      <c r="F275" s="5" t="n">
        <f aca="false">INDEX(Products!$E:$E,MATCH(C275,Products!$A:$A,0))</f>
        <v>229.76</v>
      </c>
      <c r="G275" s="4" t="str">
        <f aca="false">INDEX(Products!$C:$C,MATCH(C275,Products!$A:$A,0))</f>
        <v>Home &amp; Kitchen</v>
      </c>
      <c r="H275" s="4" t="str">
        <f aca="false">INDEX(Customers!$C:$C,MATCH(D275,Customers!$A:$A,0))</f>
        <v>R06</v>
      </c>
      <c r="I275" s="7" t="n">
        <f aca="false">INDEX(Regions!$C:$C,MATCH(H275,Regions!$A:$A,0))</f>
        <v>0.06</v>
      </c>
      <c r="J275" s="7" t="n">
        <f aca="false">INDEX(Regions!$D:$D,MATCH(H275,Regions!$A:$A,0))</f>
        <v>0.04</v>
      </c>
      <c r="K275" s="4" t="n">
        <f aca="false">INDEX(Regions!$E:$E,MATCH(H275,Regions!$A:$A,0))</f>
        <v>12</v>
      </c>
      <c r="L275" s="5" t="n">
        <f aca="false">E275*F275</f>
        <v>3216.64</v>
      </c>
      <c r="M275" s="5" t="n">
        <f aca="false">IF(E275&gt;=K275,L275*J275,0)</f>
        <v>128.6656</v>
      </c>
      <c r="N275" s="5" t="n">
        <f aca="false">(L275-M275)*I275</f>
        <v>185.278464</v>
      </c>
      <c r="O275" s="5" t="n">
        <f aca="false">L275-M275+N275</f>
        <v>3273.252864</v>
      </c>
    </row>
    <row r="276" customFormat="false" ht="15" hidden="false" customHeight="false" outlineLevel="0" collapsed="false">
      <c r="A276" s="4" t="s">
        <v>615</v>
      </c>
      <c r="B276" s="9" t="n">
        <v>45836</v>
      </c>
      <c r="C276" s="4" t="s">
        <v>58</v>
      </c>
      <c r="D276" s="4" t="s">
        <v>310</v>
      </c>
      <c r="E276" s="4" t="n">
        <v>15</v>
      </c>
      <c r="F276" s="5" t="n">
        <f aca="false">INDEX(Products!$E:$E,MATCH(C276,Products!$A:$A,0))</f>
        <v>459.72</v>
      </c>
      <c r="G276" s="4" t="str">
        <f aca="false">INDEX(Products!$C:$C,MATCH(C276,Products!$A:$A,0))</f>
        <v>Office Supplies</v>
      </c>
      <c r="H276" s="4" t="str">
        <f aca="false">INDEX(Customers!$C:$C,MATCH(D276,Customers!$A:$A,0))</f>
        <v>R04</v>
      </c>
      <c r="I276" s="7" t="n">
        <f aca="false">INDEX(Regions!$C:$C,MATCH(H276,Regions!$A:$A,0))</f>
        <v>0.08</v>
      </c>
      <c r="J276" s="7" t="n">
        <f aca="false">INDEX(Regions!$D:$D,MATCH(H276,Regions!$A:$A,0))</f>
        <v>0.05</v>
      </c>
      <c r="K276" s="4" t="n">
        <f aca="false">INDEX(Regions!$E:$E,MATCH(H276,Regions!$A:$A,0))</f>
        <v>10</v>
      </c>
      <c r="L276" s="5" t="n">
        <f aca="false">E276*F276</f>
        <v>6895.8</v>
      </c>
      <c r="M276" s="5" t="n">
        <f aca="false">IF(E276&gt;=K276,L276*J276,0)</f>
        <v>344.79</v>
      </c>
      <c r="N276" s="5" t="n">
        <f aca="false">(L276-M276)*I276</f>
        <v>524.0808</v>
      </c>
      <c r="O276" s="5" t="n">
        <f aca="false">L276-M276+N276</f>
        <v>7075.0908</v>
      </c>
    </row>
    <row r="277" customFormat="false" ht="15" hidden="false" customHeight="false" outlineLevel="0" collapsed="false">
      <c r="A277" s="4" t="s">
        <v>616</v>
      </c>
      <c r="B277" s="9" t="n">
        <v>45860</v>
      </c>
      <c r="C277" s="4" t="s">
        <v>29</v>
      </c>
      <c r="D277" s="4" t="s">
        <v>235</v>
      </c>
      <c r="E277" s="4" t="n">
        <v>2</v>
      </c>
      <c r="F277" s="5" t="n">
        <f aca="false">INDEX(Products!$E:$E,MATCH(C277,Products!$A:$A,0))</f>
        <v>43.42</v>
      </c>
      <c r="G277" s="4" t="str">
        <f aca="false">INDEX(Products!$C:$C,MATCH(C277,Products!$A:$A,0))</f>
        <v>Apparel</v>
      </c>
      <c r="H277" s="4" t="str">
        <f aca="false">INDEX(Customers!$C:$C,MATCH(D277,Customers!$A:$A,0))</f>
        <v>R05</v>
      </c>
      <c r="I277" s="7" t="n">
        <f aca="false">INDEX(Regions!$C:$C,MATCH(H277,Regions!$A:$A,0))</f>
        <v>0.0925</v>
      </c>
      <c r="J277" s="7" t="n">
        <f aca="false">INDEX(Regions!$D:$D,MATCH(H277,Regions!$A:$A,0))</f>
        <v>0.06</v>
      </c>
      <c r="K277" s="4" t="n">
        <f aca="false">INDEX(Regions!$E:$E,MATCH(H277,Regions!$A:$A,0))</f>
        <v>8</v>
      </c>
      <c r="L277" s="5" t="n">
        <f aca="false">E277*F277</f>
        <v>86.84</v>
      </c>
      <c r="M277" s="5" t="n">
        <f aca="false">IF(E277&gt;=K277,L277*J277,0)</f>
        <v>0</v>
      </c>
      <c r="N277" s="5" t="n">
        <f aca="false">(L277-M277)*I277</f>
        <v>8.0327</v>
      </c>
      <c r="O277" s="5" t="n">
        <f aca="false">L277-M277+N277</f>
        <v>94.8727</v>
      </c>
    </row>
    <row r="278" customFormat="false" ht="15" hidden="false" customHeight="false" outlineLevel="0" collapsed="false">
      <c r="A278" s="4" t="s">
        <v>617</v>
      </c>
      <c r="B278" s="9" t="n">
        <v>45855</v>
      </c>
      <c r="C278" s="4" t="s">
        <v>92</v>
      </c>
      <c r="D278" s="4" t="s">
        <v>224</v>
      </c>
      <c r="E278" s="4" t="n">
        <v>8</v>
      </c>
      <c r="F278" s="5" t="n">
        <f aca="false">INDEX(Products!$E:$E,MATCH(C278,Products!$A:$A,0))</f>
        <v>333.4</v>
      </c>
      <c r="G278" s="4" t="str">
        <f aca="false">INDEX(Products!$C:$C,MATCH(C278,Products!$A:$A,0))</f>
        <v>Outdoor</v>
      </c>
      <c r="H278" s="4" t="str">
        <f aca="false">INDEX(Customers!$C:$C,MATCH(D278,Customers!$A:$A,0))</f>
        <v>R01</v>
      </c>
      <c r="I278" s="7" t="n">
        <f aca="false">INDEX(Regions!$C:$C,MATCH(H278,Regions!$A:$A,0))</f>
        <v>0.0825</v>
      </c>
      <c r="J278" s="7" t="n">
        <f aca="false">INDEX(Regions!$D:$D,MATCH(H278,Regions!$A:$A,0))</f>
        <v>0.05</v>
      </c>
      <c r="K278" s="4" t="n">
        <f aca="false">INDEX(Regions!$E:$E,MATCH(H278,Regions!$A:$A,0))</f>
        <v>10</v>
      </c>
      <c r="L278" s="5" t="n">
        <f aca="false">E278*F278</f>
        <v>2667.2</v>
      </c>
      <c r="M278" s="5" t="n">
        <f aca="false">IF(E278&gt;=K278,L278*J278,0)</f>
        <v>0</v>
      </c>
      <c r="N278" s="5" t="n">
        <f aca="false">(L278-M278)*I278</f>
        <v>220.044</v>
      </c>
      <c r="O278" s="5" t="n">
        <f aca="false">L278-M278+N278</f>
        <v>2887.244</v>
      </c>
    </row>
    <row r="279" customFormat="false" ht="15" hidden="false" customHeight="false" outlineLevel="0" collapsed="false">
      <c r="A279" s="4" t="s">
        <v>618</v>
      </c>
      <c r="B279" s="9" t="n">
        <v>45672</v>
      </c>
      <c r="C279" s="4" t="s">
        <v>40</v>
      </c>
      <c r="D279" s="4" t="s">
        <v>224</v>
      </c>
      <c r="E279" s="4" t="n">
        <v>8</v>
      </c>
      <c r="F279" s="5" t="n">
        <f aca="false">INDEX(Products!$E:$E,MATCH(C279,Products!$A:$A,0))</f>
        <v>93.05</v>
      </c>
      <c r="G279" s="4" t="str">
        <f aca="false">INDEX(Products!$C:$C,MATCH(C279,Products!$A:$A,0))</f>
        <v>Office Supplies</v>
      </c>
      <c r="H279" s="4" t="str">
        <f aca="false">INDEX(Customers!$C:$C,MATCH(D279,Customers!$A:$A,0))</f>
        <v>R01</v>
      </c>
      <c r="I279" s="7" t="n">
        <f aca="false">INDEX(Regions!$C:$C,MATCH(H279,Regions!$A:$A,0))</f>
        <v>0.0825</v>
      </c>
      <c r="J279" s="7" t="n">
        <f aca="false">INDEX(Regions!$D:$D,MATCH(H279,Regions!$A:$A,0))</f>
        <v>0.05</v>
      </c>
      <c r="K279" s="4" t="n">
        <f aca="false">INDEX(Regions!$E:$E,MATCH(H279,Regions!$A:$A,0))</f>
        <v>10</v>
      </c>
      <c r="L279" s="5" t="n">
        <f aca="false">E279*F279</f>
        <v>744.4</v>
      </c>
      <c r="M279" s="5" t="n">
        <f aca="false">IF(E279&gt;=K279,L279*J279,0)</f>
        <v>0</v>
      </c>
      <c r="N279" s="5" t="n">
        <f aca="false">(L279-M279)*I279</f>
        <v>61.413</v>
      </c>
      <c r="O279" s="5" t="n">
        <f aca="false">L279-M279+N279</f>
        <v>805.813</v>
      </c>
    </row>
    <row r="280" customFormat="false" ht="15" hidden="false" customHeight="false" outlineLevel="0" collapsed="false">
      <c r="A280" s="4" t="s">
        <v>619</v>
      </c>
      <c r="B280" s="9" t="n">
        <v>45990</v>
      </c>
      <c r="C280" s="4" t="s">
        <v>69</v>
      </c>
      <c r="D280" s="4" t="s">
        <v>333</v>
      </c>
      <c r="E280" s="4" t="n">
        <v>4</v>
      </c>
      <c r="F280" s="5" t="n">
        <f aca="false">INDEX(Products!$E:$E,MATCH(C280,Products!$A:$A,0))</f>
        <v>173.5</v>
      </c>
      <c r="G280" s="4" t="str">
        <f aca="false">INDEX(Products!$C:$C,MATCH(C280,Products!$A:$A,0))</f>
        <v>Home &amp; Kitchen</v>
      </c>
      <c r="H280" s="4" t="str">
        <f aca="false">INDEX(Customers!$C:$C,MATCH(D280,Customers!$A:$A,0))</f>
        <v>R02</v>
      </c>
      <c r="I280" s="7" t="n">
        <f aca="false">INDEX(Regions!$C:$C,MATCH(H280,Regions!$A:$A,0))</f>
        <v>0.07</v>
      </c>
      <c r="J280" s="7" t="n">
        <f aca="false">INDEX(Regions!$D:$D,MATCH(H280,Regions!$A:$A,0))</f>
        <v>0.04</v>
      </c>
      <c r="K280" s="4" t="n">
        <f aca="false">INDEX(Regions!$E:$E,MATCH(H280,Regions!$A:$A,0))</f>
        <v>12</v>
      </c>
      <c r="L280" s="5" t="n">
        <f aca="false">E280*F280</f>
        <v>694</v>
      </c>
      <c r="M280" s="5" t="n">
        <f aca="false">IF(E280&gt;=K280,L280*J280,0)</f>
        <v>0</v>
      </c>
      <c r="N280" s="5" t="n">
        <f aca="false">(L280-M280)*I280</f>
        <v>48.58</v>
      </c>
      <c r="O280" s="5" t="n">
        <f aca="false">L280-M280+N280</f>
        <v>742.58</v>
      </c>
    </row>
    <row r="281" customFormat="false" ht="15" hidden="false" customHeight="false" outlineLevel="0" collapsed="false">
      <c r="A281" s="4" t="s">
        <v>620</v>
      </c>
      <c r="B281" s="9" t="n">
        <v>45728</v>
      </c>
      <c r="C281" s="4" t="s">
        <v>71</v>
      </c>
      <c r="D281" s="4" t="s">
        <v>306</v>
      </c>
      <c r="E281" s="4" t="n">
        <v>5</v>
      </c>
      <c r="F281" s="5" t="n">
        <f aca="false">INDEX(Products!$E:$E,MATCH(C281,Products!$A:$A,0))</f>
        <v>59.51</v>
      </c>
      <c r="G281" s="4" t="str">
        <f aca="false">INDEX(Products!$C:$C,MATCH(C281,Products!$A:$A,0))</f>
        <v>Electronics</v>
      </c>
      <c r="H281" s="4" t="str">
        <f aca="false">INDEX(Customers!$C:$C,MATCH(D281,Customers!$A:$A,0))</f>
        <v>R01</v>
      </c>
      <c r="I281" s="7" t="n">
        <f aca="false">INDEX(Regions!$C:$C,MATCH(H281,Regions!$A:$A,0))</f>
        <v>0.0825</v>
      </c>
      <c r="J281" s="7" t="n">
        <f aca="false">INDEX(Regions!$D:$D,MATCH(H281,Regions!$A:$A,0))</f>
        <v>0.05</v>
      </c>
      <c r="K281" s="4" t="n">
        <f aca="false">INDEX(Regions!$E:$E,MATCH(H281,Regions!$A:$A,0))</f>
        <v>10</v>
      </c>
      <c r="L281" s="5" t="n">
        <f aca="false">E281*F281</f>
        <v>297.55</v>
      </c>
      <c r="M281" s="5" t="n">
        <f aca="false">IF(E281&gt;=K281,L281*J281,0)</f>
        <v>0</v>
      </c>
      <c r="N281" s="5" t="n">
        <f aca="false">(L281-M281)*I281</f>
        <v>24.547875</v>
      </c>
      <c r="O281" s="5" t="n">
        <f aca="false">L281-M281+N281</f>
        <v>322.097875</v>
      </c>
    </row>
    <row r="282" customFormat="false" ht="15" hidden="false" customHeight="false" outlineLevel="0" collapsed="false">
      <c r="A282" s="4" t="s">
        <v>621</v>
      </c>
      <c r="B282" s="9" t="n">
        <v>45899</v>
      </c>
      <c r="C282" s="4" t="s">
        <v>32</v>
      </c>
      <c r="D282" s="4" t="s">
        <v>205</v>
      </c>
      <c r="E282" s="4" t="n">
        <v>30</v>
      </c>
      <c r="F282" s="5" t="n">
        <f aca="false">INDEX(Products!$E:$E,MATCH(C282,Products!$A:$A,0))</f>
        <v>112.96</v>
      </c>
      <c r="G282" s="4" t="str">
        <f aca="false">INDEX(Products!$C:$C,MATCH(C282,Products!$A:$A,0))</f>
        <v>Home &amp; Kitchen</v>
      </c>
      <c r="H282" s="4" t="str">
        <f aca="false">INDEX(Customers!$C:$C,MATCH(D282,Customers!$A:$A,0))</f>
        <v>R03</v>
      </c>
      <c r="I282" s="7" t="n">
        <f aca="false">INDEX(Regions!$C:$C,MATCH(H282,Regions!$A:$A,0))</f>
        <v>0.0625</v>
      </c>
      <c r="J282" s="7" t="n">
        <f aca="false">INDEX(Regions!$D:$D,MATCH(H282,Regions!$A:$A,0))</f>
        <v>0.03</v>
      </c>
      <c r="K282" s="4" t="n">
        <f aca="false">INDEX(Regions!$E:$E,MATCH(H282,Regions!$A:$A,0))</f>
        <v>15</v>
      </c>
      <c r="L282" s="5" t="n">
        <f aca="false">E282*F282</f>
        <v>3388.8</v>
      </c>
      <c r="M282" s="5" t="n">
        <f aca="false">IF(E282&gt;=K282,L282*J282,0)</f>
        <v>101.664</v>
      </c>
      <c r="N282" s="5" t="n">
        <f aca="false">(L282-M282)*I282</f>
        <v>205.446</v>
      </c>
      <c r="O282" s="5" t="n">
        <f aca="false">L282-M282+N282</f>
        <v>3492.582</v>
      </c>
    </row>
    <row r="283" customFormat="false" ht="15" hidden="false" customHeight="false" outlineLevel="0" collapsed="false">
      <c r="A283" s="4" t="s">
        <v>622</v>
      </c>
      <c r="B283" s="9" t="n">
        <v>45898</v>
      </c>
      <c r="C283" s="4" t="s">
        <v>46</v>
      </c>
      <c r="D283" s="4" t="s">
        <v>301</v>
      </c>
      <c r="E283" s="4" t="n">
        <v>23</v>
      </c>
      <c r="F283" s="5" t="n">
        <f aca="false">INDEX(Products!$E:$E,MATCH(C283,Products!$A:$A,0))</f>
        <v>37.16</v>
      </c>
      <c r="G283" s="4" t="str">
        <f aca="false">INDEX(Products!$C:$C,MATCH(C283,Products!$A:$A,0))</f>
        <v>Outdoor</v>
      </c>
      <c r="H283" s="4" t="str">
        <f aca="false">INDEX(Customers!$C:$C,MATCH(D283,Customers!$A:$A,0))</f>
        <v>R08</v>
      </c>
      <c r="I283" s="7" t="n">
        <f aca="false">INDEX(Regions!$C:$C,MATCH(H283,Regions!$A:$A,0))</f>
        <v>0.12</v>
      </c>
      <c r="J283" s="7" t="n">
        <f aca="false">INDEX(Regions!$D:$D,MATCH(H283,Regions!$A:$A,0))</f>
        <v>0.04</v>
      </c>
      <c r="K283" s="4" t="n">
        <f aca="false">INDEX(Regions!$E:$E,MATCH(H283,Regions!$A:$A,0))</f>
        <v>12</v>
      </c>
      <c r="L283" s="5" t="n">
        <f aca="false">E283*F283</f>
        <v>854.68</v>
      </c>
      <c r="M283" s="5" t="n">
        <f aca="false">IF(E283&gt;=K283,L283*J283,0)</f>
        <v>34.1872</v>
      </c>
      <c r="N283" s="5" t="n">
        <f aca="false">(L283-M283)*I283</f>
        <v>98.459136</v>
      </c>
      <c r="O283" s="5" t="n">
        <f aca="false">L283-M283+N283</f>
        <v>918.951936</v>
      </c>
    </row>
    <row r="284" customFormat="false" ht="15" hidden="false" customHeight="false" outlineLevel="0" collapsed="false">
      <c r="A284" s="4" t="s">
        <v>623</v>
      </c>
      <c r="B284" s="9" t="n">
        <v>45698</v>
      </c>
      <c r="C284" s="4" t="s">
        <v>84</v>
      </c>
      <c r="D284" s="4" t="s">
        <v>275</v>
      </c>
      <c r="E284" s="4" t="n">
        <v>1</v>
      </c>
      <c r="F284" s="5" t="n">
        <f aca="false">INDEX(Products!$E:$E,MATCH(C284,Products!$A:$A,0))</f>
        <v>338.07</v>
      </c>
      <c r="G284" s="4" t="str">
        <f aca="false">INDEX(Products!$C:$C,MATCH(C284,Products!$A:$A,0))</f>
        <v>Office Supplies</v>
      </c>
      <c r="H284" s="4" t="str">
        <f aca="false">INDEX(Customers!$C:$C,MATCH(D284,Customers!$A:$A,0))</f>
        <v>R02</v>
      </c>
      <c r="I284" s="7" t="n">
        <f aca="false">INDEX(Regions!$C:$C,MATCH(H284,Regions!$A:$A,0))</f>
        <v>0.07</v>
      </c>
      <c r="J284" s="7" t="n">
        <f aca="false">INDEX(Regions!$D:$D,MATCH(H284,Regions!$A:$A,0))</f>
        <v>0.04</v>
      </c>
      <c r="K284" s="4" t="n">
        <f aca="false">INDEX(Regions!$E:$E,MATCH(H284,Regions!$A:$A,0))</f>
        <v>12</v>
      </c>
      <c r="L284" s="5" t="n">
        <f aca="false">E284*F284</f>
        <v>338.07</v>
      </c>
      <c r="M284" s="5" t="n">
        <f aca="false">IF(E284&gt;=K284,L284*J284,0)</f>
        <v>0</v>
      </c>
      <c r="N284" s="5" t="n">
        <f aca="false">(L284-M284)*I284</f>
        <v>23.6649</v>
      </c>
      <c r="O284" s="5" t="n">
        <f aca="false">L284-M284+N284</f>
        <v>361.7349</v>
      </c>
    </row>
    <row r="285" customFormat="false" ht="15" hidden="false" customHeight="false" outlineLevel="0" collapsed="false">
      <c r="A285" s="4" t="s">
        <v>624</v>
      </c>
      <c r="B285" s="9" t="n">
        <v>45734</v>
      </c>
      <c r="C285" s="4" t="s">
        <v>29</v>
      </c>
      <c r="D285" s="4" t="s">
        <v>197</v>
      </c>
      <c r="E285" s="4" t="n">
        <v>7</v>
      </c>
      <c r="F285" s="5" t="n">
        <f aca="false">INDEX(Products!$E:$E,MATCH(C285,Products!$A:$A,0))</f>
        <v>43.42</v>
      </c>
      <c r="G285" s="4" t="str">
        <f aca="false">INDEX(Products!$C:$C,MATCH(C285,Products!$A:$A,0))</f>
        <v>Apparel</v>
      </c>
      <c r="H285" s="4" t="str">
        <f aca="false">INDEX(Customers!$C:$C,MATCH(D285,Customers!$A:$A,0))</f>
        <v>R01</v>
      </c>
      <c r="I285" s="7" t="n">
        <f aca="false">INDEX(Regions!$C:$C,MATCH(H285,Regions!$A:$A,0))</f>
        <v>0.0825</v>
      </c>
      <c r="J285" s="7" t="n">
        <f aca="false">INDEX(Regions!$D:$D,MATCH(H285,Regions!$A:$A,0))</f>
        <v>0.05</v>
      </c>
      <c r="K285" s="4" t="n">
        <f aca="false">INDEX(Regions!$E:$E,MATCH(H285,Regions!$A:$A,0))</f>
        <v>10</v>
      </c>
      <c r="L285" s="5" t="n">
        <f aca="false">E285*F285</f>
        <v>303.94</v>
      </c>
      <c r="M285" s="5" t="n">
        <f aca="false">IF(E285&gt;=K285,L285*J285,0)</f>
        <v>0</v>
      </c>
      <c r="N285" s="5" t="n">
        <f aca="false">(L285-M285)*I285</f>
        <v>25.07505</v>
      </c>
      <c r="O285" s="5" t="n">
        <f aca="false">L285-M285+N285</f>
        <v>329.01505</v>
      </c>
    </row>
    <row r="286" customFormat="false" ht="15" hidden="false" customHeight="false" outlineLevel="0" collapsed="false">
      <c r="A286" s="4" t="s">
        <v>625</v>
      </c>
      <c r="B286" s="9" t="n">
        <v>45928</v>
      </c>
      <c r="C286" s="4" t="s">
        <v>98</v>
      </c>
      <c r="D286" s="4" t="s">
        <v>295</v>
      </c>
      <c r="E286" s="4" t="n">
        <v>20</v>
      </c>
      <c r="F286" s="5" t="n">
        <f aca="false">INDEX(Products!$E:$E,MATCH(C286,Products!$A:$A,0))</f>
        <v>26.28</v>
      </c>
      <c r="G286" s="4" t="str">
        <f aca="false">INDEX(Products!$C:$C,MATCH(C286,Products!$A:$A,0))</f>
        <v>Home &amp; Kitchen</v>
      </c>
      <c r="H286" s="4" t="str">
        <f aca="false">INDEX(Customers!$C:$C,MATCH(D286,Customers!$A:$A,0))</f>
        <v>R06</v>
      </c>
      <c r="I286" s="7" t="n">
        <f aca="false">INDEX(Regions!$C:$C,MATCH(H286,Regions!$A:$A,0))</f>
        <v>0.06</v>
      </c>
      <c r="J286" s="7" t="n">
        <f aca="false">INDEX(Regions!$D:$D,MATCH(H286,Regions!$A:$A,0))</f>
        <v>0.04</v>
      </c>
      <c r="K286" s="4" t="n">
        <f aca="false">INDEX(Regions!$E:$E,MATCH(H286,Regions!$A:$A,0))</f>
        <v>12</v>
      </c>
      <c r="L286" s="5" t="n">
        <f aca="false">E286*F286</f>
        <v>525.6</v>
      </c>
      <c r="M286" s="5" t="n">
        <f aca="false">IF(E286&gt;=K286,L286*J286,0)</f>
        <v>21.024</v>
      </c>
      <c r="N286" s="5" t="n">
        <f aca="false">(L286-M286)*I286</f>
        <v>30.27456</v>
      </c>
      <c r="O286" s="5" t="n">
        <f aca="false">L286-M286+N286</f>
        <v>534.85056</v>
      </c>
    </row>
    <row r="287" customFormat="false" ht="15" hidden="false" customHeight="false" outlineLevel="0" collapsed="false">
      <c r="A287" s="4" t="s">
        <v>626</v>
      </c>
      <c r="B287" s="9" t="n">
        <v>45805</v>
      </c>
      <c r="C287" s="4" t="s">
        <v>82</v>
      </c>
      <c r="D287" s="4" t="s">
        <v>163</v>
      </c>
      <c r="E287" s="4" t="n">
        <v>25</v>
      </c>
      <c r="F287" s="5" t="n">
        <f aca="false">INDEX(Products!$E:$E,MATCH(C287,Products!$A:$A,0))</f>
        <v>365.87</v>
      </c>
      <c r="G287" s="4" t="str">
        <f aca="false">INDEX(Products!$C:$C,MATCH(C287,Products!$A:$A,0))</f>
        <v>Office Supplies</v>
      </c>
      <c r="H287" s="4" t="str">
        <f aca="false">INDEX(Customers!$C:$C,MATCH(D287,Customers!$A:$A,0))</f>
        <v>R02</v>
      </c>
      <c r="I287" s="7" t="n">
        <f aca="false">INDEX(Regions!$C:$C,MATCH(H287,Regions!$A:$A,0))</f>
        <v>0.07</v>
      </c>
      <c r="J287" s="7" t="n">
        <f aca="false">INDEX(Regions!$D:$D,MATCH(H287,Regions!$A:$A,0))</f>
        <v>0.04</v>
      </c>
      <c r="K287" s="4" t="n">
        <f aca="false">INDEX(Regions!$E:$E,MATCH(H287,Regions!$A:$A,0))</f>
        <v>12</v>
      </c>
      <c r="L287" s="5" t="n">
        <f aca="false">E287*F287</f>
        <v>9146.75</v>
      </c>
      <c r="M287" s="5" t="n">
        <f aca="false">IF(E287&gt;=K287,L287*J287,0)</f>
        <v>365.87</v>
      </c>
      <c r="N287" s="5" t="n">
        <f aca="false">(L287-M287)*I287</f>
        <v>614.6616</v>
      </c>
      <c r="O287" s="5" t="n">
        <f aca="false">L287-M287+N287</f>
        <v>9395.5416</v>
      </c>
    </row>
    <row r="288" customFormat="false" ht="15" hidden="false" customHeight="false" outlineLevel="0" collapsed="false">
      <c r="A288" s="4" t="s">
        <v>627</v>
      </c>
      <c r="B288" s="9" t="n">
        <v>45682</v>
      </c>
      <c r="C288" s="4" t="s">
        <v>60</v>
      </c>
      <c r="D288" s="4" t="s">
        <v>208</v>
      </c>
      <c r="E288" s="4" t="n">
        <v>4</v>
      </c>
      <c r="F288" s="5" t="n">
        <f aca="false">INDEX(Products!$E:$E,MATCH(C288,Products!$A:$A,0))</f>
        <v>420.29</v>
      </c>
      <c r="G288" s="4" t="str">
        <f aca="false">INDEX(Products!$C:$C,MATCH(C288,Products!$A:$A,0))</f>
        <v>Office Supplies</v>
      </c>
      <c r="H288" s="4" t="str">
        <f aca="false">INDEX(Customers!$C:$C,MATCH(D288,Customers!$A:$A,0))</f>
        <v>R03</v>
      </c>
      <c r="I288" s="7" t="n">
        <f aca="false">INDEX(Regions!$C:$C,MATCH(H288,Regions!$A:$A,0))</f>
        <v>0.0625</v>
      </c>
      <c r="J288" s="7" t="n">
        <f aca="false">INDEX(Regions!$D:$D,MATCH(H288,Regions!$A:$A,0))</f>
        <v>0.03</v>
      </c>
      <c r="K288" s="4" t="n">
        <f aca="false">INDEX(Regions!$E:$E,MATCH(H288,Regions!$A:$A,0))</f>
        <v>15</v>
      </c>
      <c r="L288" s="5" t="n">
        <f aca="false">E288*F288</f>
        <v>1681.16</v>
      </c>
      <c r="M288" s="5" t="n">
        <f aca="false">IF(E288&gt;=K288,L288*J288,0)</f>
        <v>0</v>
      </c>
      <c r="N288" s="5" t="n">
        <f aca="false">(L288-M288)*I288</f>
        <v>105.0725</v>
      </c>
      <c r="O288" s="5" t="n">
        <f aca="false">L288-M288+N288</f>
        <v>1786.2325</v>
      </c>
    </row>
    <row r="289" customFormat="false" ht="15" hidden="false" customHeight="false" outlineLevel="0" collapsed="false">
      <c r="A289" s="4" t="s">
        <v>628</v>
      </c>
      <c r="B289" s="9" t="n">
        <v>45976</v>
      </c>
      <c r="C289" s="4" t="s">
        <v>60</v>
      </c>
      <c r="D289" s="4" t="s">
        <v>235</v>
      </c>
      <c r="E289" s="4" t="n">
        <v>21</v>
      </c>
      <c r="F289" s="5" t="n">
        <f aca="false">INDEX(Products!$E:$E,MATCH(C289,Products!$A:$A,0))</f>
        <v>420.29</v>
      </c>
      <c r="G289" s="4" t="str">
        <f aca="false">INDEX(Products!$C:$C,MATCH(C289,Products!$A:$A,0))</f>
        <v>Office Supplies</v>
      </c>
      <c r="H289" s="4" t="str">
        <f aca="false">INDEX(Customers!$C:$C,MATCH(D289,Customers!$A:$A,0))</f>
        <v>R05</v>
      </c>
      <c r="I289" s="7" t="n">
        <f aca="false">INDEX(Regions!$C:$C,MATCH(H289,Regions!$A:$A,0))</f>
        <v>0.0925</v>
      </c>
      <c r="J289" s="7" t="n">
        <f aca="false">INDEX(Regions!$D:$D,MATCH(H289,Regions!$A:$A,0))</f>
        <v>0.06</v>
      </c>
      <c r="K289" s="4" t="n">
        <f aca="false">INDEX(Regions!$E:$E,MATCH(H289,Regions!$A:$A,0))</f>
        <v>8</v>
      </c>
      <c r="L289" s="5" t="n">
        <f aca="false">E289*F289</f>
        <v>8826.09</v>
      </c>
      <c r="M289" s="5" t="n">
        <f aca="false">IF(E289&gt;=K289,L289*J289,0)</f>
        <v>529.5654</v>
      </c>
      <c r="N289" s="5" t="n">
        <f aca="false">(L289-M289)*I289</f>
        <v>767.4285255</v>
      </c>
      <c r="O289" s="5" t="n">
        <f aca="false">L289-M289+N289</f>
        <v>9063.9531255</v>
      </c>
    </row>
    <row r="290" customFormat="false" ht="15" hidden="false" customHeight="false" outlineLevel="0" collapsed="false">
      <c r="A290" s="4" t="s">
        <v>629</v>
      </c>
      <c r="B290" s="9" t="n">
        <v>45913</v>
      </c>
      <c r="C290" s="4" t="s">
        <v>86</v>
      </c>
      <c r="D290" s="4" t="s">
        <v>151</v>
      </c>
      <c r="E290" s="4" t="n">
        <v>4</v>
      </c>
      <c r="F290" s="5" t="n">
        <f aca="false">INDEX(Products!$E:$E,MATCH(C290,Products!$A:$A,0))</f>
        <v>169.14</v>
      </c>
      <c r="G290" s="4" t="str">
        <f aca="false">INDEX(Products!$C:$C,MATCH(C290,Products!$A:$A,0))</f>
        <v>Office Supplies</v>
      </c>
      <c r="H290" s="4" t="str">
        <f aca="false">INDEX(Customers!$C:$C,MATCH(D290,Customers!$A:$A,0))</f>
        <v>R03</v>
      </c>
      <c r="I290" s="7" t="n">
        <f aca="false">INDEX(Regions!$C:$C,MATCH(H290,Regions!$A:$A,0))</f>
        <v>0.0625</v>
      </c>
      <c r="J290" s="7" t="n">
        <f aca="false">INDEX(Regions!$D:$D,MATCH(H290,Regions!$A:$A,0))</f>
        <v>0.03</v>
      </c>
      <c r="K290" s="4" t="n">
        <f aca="false">INDEX(Regions!$E:$E,MATCH(H290,Regions!$A:$A,0))</f>
        <v>15</v>
      </c>
      <c r="L290" s="5" t="n">
        <f aca="false">E290*F290</f>
        <v>676.56</v>
      </c>
      <c r="M290" s="5" t="n">
        <f aca="false">IF(E290&gt;=K290,L290*J290,0)</f>
        <v>0</v>
      </c>
      <c r="N290" s="5" t="n">
        <f aca="false">(L290-M290)*I290</f>
        <v>42.285</v>
      </c>
      <c r="O290" s="5" t="n">
        <f aca="false">L290-M290+N290</f>
        <v>718.845</v>
      </c>
    </row>
    <row r="291" customFormat="false" ht="15" hidden="false" customHeight="false" outlineLevel="0" collapsed="false">
      <c r="A291" s="4" t="s">
        <v>630</v>
      </c>
      <c r="B291" s="9" t="n">
        <v>45981</v>
      </c>
      <c r="C291" s="4" t="s">
        <v>103</v>
      </c>
      <c r="D291" s="4" t="s">
        <v>258</v>
      </c>
      <c r="E291" s="4" t="n">
        <v>1</v>
      </c>
      <c r="F291" s="5" t="n">
        <f aca="false">INDEX(Products!$E:$E,MATCH(C291,Products!$A:$A,0))</f>
        <v>125.31</v>
      </c>
      <c r="G291" s="4" t="str">
        <f aca="false">INDEX(Products!$C:$C,MATCH(C291,Products!$A:$A,0))</f>
        <v>Home &amp; Kitchen</v>
      </c>
      <c r="H291" s="4" t="str">
        <f aca="false">INDEX(Customers!$C:$C,MATCH(D291,Customers!$A:$A,0))</f>
        <v>R05</v>
      </c>
      <c r="I291" s="7" t="n">
        <f aca="false">INDEX(Regions!$C:$C,MATCH(H291,Regions!$A:$A,0))</f>
        <v>0.0925</v>
      </c>
      <c r="J291" s="7" t="n">
        <f aca="false">INDEX(Regions!$D:$D,MATCH(H291,Regions!$A:$A,0))</f>
        <v>0.06</v>
      </c>
      <c r="K291" s="4" t="n">
        <f aca="false">INDEX(Regions!$E:$E,MATCH(H291,Regions!$A:$A,0))</f>
        <v>8</v>
      </c>
      <c r="L291" s="5" t="n">
        <f aca="false">E291*F291</f>
        <v>125.31</v>
      </c>
      <c r="M291" s="5" t="n">
        <f aca="false">IF(E291&gt;=K291,L291*J291,0)</f>
        <v>0</v>
      </c>
      <c r="N291" s="5" t="n">
        <f aca="false">(L291-M291)*I291</f>
        <v>11.591175</v>
      </c>
      <c r="O291" s="5" t="n">
        <f aca="false">L291-M291+N291</f>
        <v>136.901175</v>
      </c>
    </row>
    <row r="292" customFormat="false" ht="15" hidden="false" customHeight="false" outlineLevel="0" collapsed="false">
      <c r="A292" s="4" t="s">
        <v>631</v>
      </c>
      <c r="B292" s="9" t="n">
        <v>45731</v>
      </c>
      <c r="C292" s="4" t="s">
        <v>92</v>
      </c>
      <c r="D292" s="4" t="s">
        <v>266</v>
      </c>
      <c r="E292" s="4" t="n">
        <v>8</v>
      </c>
      <c r="F292" s="5" t="n">
        <f aca="false">INDEX(Products!$E:$E,MATCH(C292,Products!$A:$A,0))</f>
        <v>333.4</v>
      </c>
      <c r="G292" s="4" t="str">
        <f aca="false">INDEX(Products!$C:$C,MATCH(C292,Products!$A:$A,0))</f>
        <v>Outdoor</v>
      </c>
      <c r="H292" s="4" t="str">
        <f aca="false">INDEX(Customers!$C:$C,MATCH(D292,Customers!$A:$A,0))</f>
        <v>R05</v>
      </c>
      <c r="I292" s="7" t="n">
        <f aca="false">INDEX(Regions!$C:$C,MATCH(H292,Regions!$A:$A,0))</f>
        <v>0.0925</v>
      </c>
      <c r="J292" s="7" t="n">
        <f aca="false">INDEX(Regions!$D:$D,MATCH(H292,Regions!$A:$A,0))</f>
        <v>0.06</v>
      </c>
      <c r="K292" s="4" t="n">
        <f aca="false">INDEX(Regions!$E:$E,MATCH(H292,Regions!$A:$A,0))</f>
        <v>8</v>
      </c>
      <c r="L292" s="5" t="n">
        <f aca="false">E292*F292</f>
        <v>2667.2</v>
      </c>
      <c r="M292" s="5" t="n">
        <f aca="false">IF(E292&gt;=K292,L292*J292,0)</f>
        <v>160.032</v>
      </c>
      <c r="N292" s="5" t="n">
        <f aca="false">(L292-M292)*I292</f>
        <v>231.91304</v>
      </c>
      <c r="O292" s="5" t="n">
        <f aca="false">L292-M292+N292</f>
        <v>2739.08104</v>
      </c>
    </row>
    <row r="293" customFormat="false" ht="15" hidden="false" customHeight="false" outlineLevel="0" collapsed="false">
      <c r="A293" s="4" t="s">
        <v>632</v>
      </c>
      <c r="B293" s="9" t="n">
        <v>45972</v>
      </c>
      <c r="C293" s="4" t="s">
        <v>66</v>
      </c>
      <c r="D293" s="4" t="s">
        <v>237</v>
      </c>
      <c r="E293" s="4" t="n">
        <v>1</v>
      </c>
      <c r="F293" s="5" t="n">
        <f aca="false">INDEX(Products!$E:$E,MATCH(C293,Products!$A:$A,0))</f>
        <v>55.31</v>
      </c>
      <c r="G293" s="4" t="str">
        <f aca="false">INDEX(Products!$C:$C,MATCH(C293,Products!$A:$A,0))</f>
        <v>Outdoor</v>
      </c>
      <c r="H293" s="4" t="str">
        <f aca="false">INDEX(Customers!$C:$C,MATCH(D293,Customers!$A:$A,0))</f>
        <v>R06</v>
      </c>
      <c r="I293" s="7" t="n">
        <f aca="false">INDEX(Regions!$C:$C,MATCH(H293,Regions!$A:$A,0))</f>
        <v>0.06</v>
      </c>
      <c r="J293" s="7" t="n">
        <f aca="false">INDEX(Regions!$D:$D,MATCH(H293,Regions!$A:$A,0))</f>
        <v>0.04</v>
      </c>
      <c r="K293" s="4" t="n">
        <f aca="false">INDEX(Regions!$E:$E,MATCH(H293,Regions!$A:$A,0))</f>
        <v>12</v>
      </c>
      <c r="L293" s="5" t="n">
        <f aca="false">E293*F293</f>
        <v>55.31</v>
      </c>
      <c r="M293" s="5" t="n">
        <f aca="false">IF(E293&gt;=K293,L293*J293,0)</f>
        <v>0</v>
      </c>
      <c r="N293" s="5" t="n">
        <f aca="false">(L293-M293)*I293</f>
        <v>3.3186</v>
      </c>
      <c r="O293" s="5" t="n">
        <f aca="false">L293-M293+N293</f>
        <v>58.6286</v>
      </c>
    </row>
    <row r="294" customFormat="false" ht="15" hidden="false" customHeight="false" outlineLevel="0" collapsed="false">
      <c r="A294" s="4" t="s">
        <v>633</v>
      </c>
      <c r="B294" s="9" t="n">
        <v>45871</v>
      </c>
      <c r="C294" s="4" t="s">
        <v>73</v>
      </c>
      <c r="D294" s="4" t="s">
        <v>193</v>
      </c>
      <c r="E294" s="4" t="n">
        <v>19</v>
      </c>
      <c r="F294" s="5" t="n">
        <f aca="false">INDEX(Products!$E:$E,MATCH(C294,Products!$A:$A,0))</f>
        <v>180.28</v>
      </c>
      <c r="G294" s="4" t="str">
        <f aca="false">INDEX(Products!$C:$C,MATCH(C294,Products!$A:$A,0))</f>
        <v>Electronics</v>
      </c>
      <c r="H294" s="4" t="str">
        <f aca="false">INDEX(Customers!$C:$C,MATCH(D294,Customers!$A:$A,0))</f>
        <v>R05</v>
      </c>
      <c r="I294" s="7" t="n">
        <f aca="false">INDEX(Regions!$C:$C,MATCH(H294,Regions!$A:$A,0))</f>
        <v>0.0925</v>
      </c>
      <c r="J294" s="7" t="n">
        <f aca="false">INDEX(Regions!$D:$D,MATCH(H294,Regions!$A:$A,0))</f>
        <v>0.06</v>
      </c>
      <c r="K294" s="4" t="n">
        <f aca="false">INDEX(Regions!$E:$E,MATCH(H294,Regions!$A:$A,0))</f>
        <v>8</v>
      </c>
      <c r="L294" s="5" t="n">
        <f aca="false">E294*F294</f>
        <v>3425.32</v>
      </c>
      <c r="M294" s="5" t="n">
        <f aca="false">IF(E294&gt;=K294,L294*J294,0)</f>
        <v>205.5192</v>
      </c>
      <c r="N294" s="5" t="n">
        <f aca="false">(L294-M294)*I294</f>
        <v>297.831574</v>
      </c>
      <c r="O294" s="5" t="n">
        <f aca="false">L294-M294+N294</f>
        <v>3517.632374</v>
      </c>
    </row>
    <row r="295" customFormat="false" ht="15" hidden="false" customHeight="false" outlineLevel="0" collapsed="false">
      <c r="A295" s="4" t="s">
        <v>634</v>
      </c>
      <c r="B295" s="9" t="n">
        <v>45701</v>
      </c>
      <c r="C295" s="4" t="s">
        <v>52</v>
      </c>
      <c r="D295" s="4" t="s">
        <v>284</v>
      </c>
      <c r="E295" s="4" t="n">
        <v>22</v>
      </c>
      <c r="F295" s="5" t="n">
        <f aca="false">INDEX(Products!$E:$E,MATCH(C295,Products!$A:$A,0))</f>
        <v>237.1</v>
      </c>
      <c r="G295" s="4" t="str">
        <f aca="false">INDEX(Products!$C:$C,MATCH(C295,Products!$A:$A,0))</f>
        <v>Office Supplies</v>
      </c>
      <c r="H295" s="4" t="str">
        <f aca="false">INDEX(Customers!$C:$C,MATCH(D295,Customers!$A:$A,0))</f>
        <v>R04</v>
      </c>
      <c r="I295" s="7" t="n">
        <f aca="false">INDEX(Regions!$C:$C,MATCH(H295,Regions!$A:$A,0))</f>
        <v>0.08</v>
      </c>
      <c r="J295" s="7" t="n">
        <f aca="false">INDEX(Regions!$D:$D,MATCH(H295,Regions!$A:$A,0))</f>
        <v>0.05</v>
      </c>
      <c r="K295" s="4" t="n">
        <f aca="false">INDEX(Regions!$E:$E,MATCH(H295,Regions!$A:$A,0))</f>
        <v>10</v>
      </c>
      <c r="L295" s="5" t="n">
        <f aca="false">E295*F295</f>
        <v>5216.2</v>
      </c>
      <c r="M295" s="5" t="n">
        <f aca="false">IF(E295&gt;=K295,L295*J295,0)</f>
        <v>260.81</v>
      </c>
      <c r="N295" s="5" t="n">
        <f aca="false">(L295-M295)*I295</f>
        <v>396.4312</v>
      </c>
      <c r="O295" s="5" t="n">
        <f aca="false">L295-M295+N295</f>
        <v>5351.8212</v>
      </c>
    </row>
    <row r="296" customFormat="false" ht="15" hidden="false" customHeight="false" outlineLevel="0" collapsed="false">
      <c r="A296" s="4" t="s">
        <v>635</v>
      </c>
      <c r="B296" s="9" t="n">
        <v>45927</v>
      </c>
      <c r="C296" s="4" t="s">
        <v>94</v>
      </c>
      <c r="D296" s="4" t="s">
        <v>222</v>
      </c>
      <c r="E296" s="4" t="n">
        <v>3</v>
      </c>
      <c r="F296" s="5" t="n">
        <f aca="false">INDEX(Products!$E:$E,MATCH(C296,Products!$A:$A,0))</f>
        <v>362.1</v>
      </c>
      <c r="G296" s="4" t="str">
        <f aca="false">INDEX(Products!$C:$C,MATCH(C296,Products!$A:$A,0))</f>
        <v>Apparel</v>
      </c>
      <c r="H296" s="4" t="str">
        <f aca="false">INDEX(Customers!$C:$C,MATCH(D296,Customers!$A:$A,0))</f>
        <v>R07</v>
      </c>
      <c r="I296" s="7" t="n">
        <f aca="false">INDEX(Regions!$C:$C,MATCH(H296,Regions!$A:$A,0))</f>
        <v>0.15</v>
      </c>
      <c r="J296" s="7" t="n">
        <f aca="false">INDEX(Regions!$D:$D,MATCH(H296,Regions!$A:$A,0))</f>
        <v>0.05</v>
      </c>
      <c r="K296" s="4" t="n">
        <f aca="false">INDEX(Regions!$E:$E,MATCH(H296,Regions!$A:$A,0))</f>
        <v>10</v>
      </c>
      <c r="L296" s="5" t="n">
        <f aca="false">E296*F296</f>
        <v>1086.3</v>
      </c>
      <c r="M296" s="5" t="n">
        <f aca="false">IF(E296&gt;=K296,L296*J296,0)</f>
        <v>0</v>
      </c>
      <c r="N296" s="5" t="n">
        <f aca="false">(L296-M296)*I296</f>
        <v>162.945</v>
      </c>
      <c r="O296" s="5" t="n">
        <f aca="false">L296-M296+N296</f>
        <v>1249.245</v>
      </c>
    </row>
    <row r="297" customFormat="false" ht="15" hidden="false" customHeight="false" outlineLevel="0" collapsed="false">
      <c r="A297" s="4" t="s">
        <v>636</v>
      </c>
      <c r="B297" s="9" t="n">
        <v>45917</v>
      </c>
      <c r="C297" s="4" t="s">
        <v>96</v>
      </c>
      <c r="D297" s="4" t="s">
        <v>252</v>
      </c>
      <c r="E297" s="4" t="n">
        <v>26</v>
      </c>
      <c r="F297" s="5" t="n">
        <f aca="false">INDEX(Products!$E:$E,MATCH(C297,Products!$A:$A,0))</f>
        <v>195.64</v>
      </c>
      <c r="G297" s="4" t="str">
        <f aca="false">INDEX(Products!$C:$C,MATCH(C297,Products!$A:$A,0))</f>
        <v>Office Supplies</v>
      </c>
      <c r="H297" s="4" t="str">
        <f aca="false">INDEX(Customers!$C:$C,MATCH(D297,Customers!$A:$A,0))</f>
        <v>R06</v>
      </c>
      <c r="I297" s="7" t="n">
        <f aca="false">INDEX(Regions!$C:$C,MATCH(H297,Regions!$A:$A,0))</f>
        <v>0.06</v>
      </c>
      <c r="J297" s="7" t="n">
        <f aca="false">INDEX(Regions!$D:$D,MATCH(H297,Regions!$A:$A,0))</f>
        <v>0.04</v>
      </c>
      <c r="K297" s="4" t="n">
        <f aca="false">INDEX(Regions!$E:$E,MATCH(H297,Regions!$A:$A,0))</f>
        <v>12</v>
      </c>
      <c r="L297" s="5" t="n">
        <f aca="false">E297*F297</f>
        <v>5086.64</v>
      </c>
      <c r="M297" s="5" t="n">
        <f aca="false">IF(E297&gt;=K297,L297*J297,0)</f>
        <v>203.4656</v>
      </c>
      <c r="N297" s="5" t="n">
        <f aca="false">(L297-M297)*I297</f>
        <v>292.990464</v>
      </c>
      <c r="O297" s="5" t="n">
        <f aca="false">L297-M297+N297</f>
        <v>5176.164864</v>
      </c>
    </row>
    <row r="298" customFormat="false" ht="15" hidden="false" customHeight="false" outlineLevel="0" collapsed="false">
      <c r="A298" s="4" t="s">
        <v>637</v>
      </c>
      <c r="B298" s="9" t="n">
        <v>45898</v>
      </c>
      <c r="C298" s="4" t="s">
        <v>98</v>
      </c>
      <c r="D298" s="4" t="s">
        <v>138</v>
      </c>
      <c r="E298" s="4" t="n">
        <v>13</v>
      </c>
      <c r="F298" s="5" t="n">
        <f aca="false">INDEX(Products!$E:$E,MATCH(C298,Products!$A:$A,0))</f>
        <v>26.28</v>
      </c>
      <c r="G298" s="4" t="str">
        <f aca="false">INDEX(Products!$C:$C,MATCH(C298,Products!$A:$A,0))</f>
        <v>Home &amp; Kitchen</v>
      </c>
      <c r="H298" s="4" t="str">
        <f aca="false">INDEX(Customers!$C:$C,MATCH(D298,Customers!$A:$A,0))</f>
        <v>R02</v>
      </c>
      <c r="I298" s="7" t="n">
        <f aca="false">INDEX(Regions!$C:$C,MATCH(H298,Regions!$A:$A,0))</f>
        <v>0.07</v>
      </c>
      <c r="J298" s="7" t="n">
        <f aca="false">INDEX(Regions!$D:$D,MATCH(H298,Regions!$A:$A,0))</f>
        <v>0.04</v>
      </c>
      <c r="K298" s="4" t="n">
        <f aca="false">INDEX(Regions!$E:$E,MATCH(H298,Regions!$A:$A,0))</f>
        <v>12</v>
      </c>
      <c r="L298" s="5" t="n">
        <f aca="false">E298*F298</f>
        <v>341.64</v>
      </c>
      <c r="M298" s="5" t="n">
        <f aca="false">IF(E298&gt;=K298,L298*J298,0)</f>
        <v>13.6656</v>
      </c>
      <c r="N298" s="5" t="n">
        <f aca="false">(L298-M298)*I298</f>
        <v>22.958208</v>
      </c>
      <c r="O298" s="5" t="n">
        <f aca="false">L298-M298+N298</f>
        <v>350.932608</v>
      </c>
    </row>
    <row r="299" customFormat="false" ht="15" hidden="false" customHeight="false" outlineLevel="0" collapsed="false">
      <c r="A299" s="4" t="s">
        <v>638</v>
      </c>
      <c r="B299" s="9" t="n">
        <v>45849</v>
      </c>
      <c r="C299" s="4" t="s">
        <v>32</v>
      </c>
      <c r="D299" s="4" t="s">
        <v>279</v>
      </c>
      <c r="E299" s="4" t="n">
        <v>13</v>
      </c>
      <c r="F299" s="5" t="n">
        <f aca="false">INDEX(Products!$E:$E,MATCH(C299,Products!$A:$A,0))</f>
        <v>112.96</v>
      </c>
      <c r="G299" s="4" t="str">
        <f aca="false">INDEX(Products!$C:$C,MATCH(C299,Products!$A:$A,0))</f>
        <v>Home &amp; Kitchen</v>
      </c>
      <c r="H299" s="4" t="str">
        <f aca="false">INDEX(Customers!$C:$C,MATCH(D299,Customers!$A:$A,0))</f>
        <v>R07</v>
      </c>
      <c r="I299" s="7" t="n">
        <f aca="false">INDEX(Regions!$C:$C,MATCH(H299,Regions!$A:$A,0))</f>
        <v>0.15</v>
      </c>
      <c r="J299" s="7" t="n">
        <f aca="false">INDEX(Regions!$D:$D,MATCH(H299,Regions!$A:$A,0))</f>
        <v>0.05</v>
      </c>
      <c r="K299" s="4" t="n">
        <f aca="false">INDEX(Regions!$E:$E,MATCH(H299,Regions!$A:$A,0))</f>
        <v>10</v>
      </c>
      <c r="L299" s="5" t="n">
        <f aca="false">E299*F299</f>
        <v>1468.48</v>
      </c>
      <c r="M299" s="5" t="n">
        <f aca="false">IF(E299&gt;=K299,L299*J299,0)</f>
        <v>73.424</v>
      </c>
      <c r="N299" s="5" t="n">
        <f aca="false">(L299-M299)*I299</f>
        <v>209.2584</v>
      </c>
      <c r="O299" s="5" t="n">
        <f aca="false">L299-M299+N299</f>
        <v>1604.3144</v>
      </c>
    </row>
    <row r="300" customFormat="false" ht="15" hidden="false" customHeight="false" outlineLevel="0" collapsed="false">
      <c r="A300" s="4" t="s">
        <v>639</v>
      </c>
      <c r="B300" s="9" t="n">
        <v>45840</v>
      </c>
      <c r="C300" s="4" t="s">
        <v>62</v>
      </c>
      <c r="D300" s="4" t="s">
        <v>298</v>
      </c>
      <c r="E300" s="4" t="n">
        <v>1</v>
      </c>
      <c r="F300" s="5" t="n">
        <f aca="false">INDEX(Products!$E:$E,MATCH(C300,Products!$A:$A,0))</f>
        <v>329.87</v>
      </c>
      <c r="G300" s="4" t="str">
        <f aca="false">INDEX(Products!$C:$C,MATCH(C300,Products!$A:$A,0))</f>
        <v>Electronics</v>
      </c>
      <c r="H300" s="4" t="str">
        <f aca="false">INDEX(Customers!$C:$C,MATCH(D300,Customers!$A:$A,0))</f>
        <v>R08</v>
      </c>
      <c r="I300" s="7" t="n">
        <f aca="false">INDEX(Regions!$C:$C,MATCH(H300,Regions!$A:$A,0))</f>
        <v>0.12</v>
      </c>
      <c r="J300" s="7" t="n">
        <f aca="false">INDEX(Regions!$D:$D,MATCH(H300,Regions!$A:$A,0))</f>
        <v>0.04</v>
      </c>
      <c r="K300" s="4" t="n">
        <f aca="false">INDEX(Regions!$E:$E,MATCH(H300,Regions!$A:$A,0))</f>
        <v>12</v>
      </c>
      <c r="L300" s="5" t="n">
        <f aca="false">E300*F300</f>
        <v>329.87</v>
      </c>
      <c r="M300" s="5" t="n">
        <f aca="false">IF(E300&gt;=K300,L300*J300,0)</f>
        <v>0</v>
      </c>
      <c r="N300" s="5" t="n">
        <f aca="false">(L300-M300)*I300</f>
        <v>39.5844</v>
      </c>
      <c r="O300" s="5" t="n">
        <f aca="false">L300-M300+N300</f>
        <v>369.4544</v>
      </c>
    </row>
    <row r="301" customFormat="false" ht="15" hidden="false" customHeight="false" outlineLevel="0" collapsed="false">
      <c r="A301" s="4" t="s">
        <v>640</v>
      </c>
      <c r="B301" s="9" t="n">
        <v>45994</v>
      </c>
      <c r="C301" s="4" t="s">
        <v>37</v>
      </c>
      <c r="D301" s="4" t="s">
        <v>219</v>
      </c>
      <c r="E301" s="4" t="n">
        <v>8</v>
      </c>
      <c r="F301" s="5" t="n">
        <f aca="false">INDEX(Products!$E:$E,MATCH(C301,Products!$A:$A,0))</f>
        <v>267.59</v>
      </c>
      <c r="G301" s="4" t="str">
        <f aca="false">INDEX(Products!$C:$C,MATCH(C301,Products!$A:$A,0))</f>
        <v>Electronics</v>
      </c>
      <c r="H301" s="4" t="str">
        <f aca="false">INDEX(Customers!$C:$C,MATCH(D301,Customers!$A:$A,0))</f>
        <v>R05</v>
      </c>
      <c r="I301" s="7" t="n">
        <f aca="false">INDEX(Regions!$C:$C,MATCH(H301,Regions!$A:$A,0))</f>
        <v>0.0925</v>
      </c>
      <c r="J301" s="7" t="n">
        <f aca="false">INDEX(Regions!$D:$D,MATCH(H301,Regions!$A:$A,0))</f>
        <v>0.06</v>
      </c>
      <c r="K301" s="4" t="n">
        <f aca="false">INDEX(Regions!$E:$E,MATCH(H301,Regions!$A:$A,0))</f>
        <v>8</v>
      </c>
      <c r="L301" s="5" t="n">
        <f aca="false">E301*F301</f>
        <v>2140.72</v>
      </c>
      <c r="M301" s="5" t="n">
        <f aca="false">IF(E301&gt;=K301,L301*J301,0)</f>
        <v>128.4432</v>
      </c>
      <c r="N301" s="5" t="n">
        <f aca="false">(L301-M301)*I301</f>
        <v>186.135604</v>
      </c>
      <c r="O301" s="5" t="n">
        <f aca="false">L301-M301+N301</f>
        <v>2198.412404</v>
      </c>
    </row>
    <row r="302" customFormat="false" ht="15" hidden="false" customHeight="false" outlineLevel="0" collapsed="false">
      <c r="A302" s="4" t="s">
        <v>641</v>
      </c>
      <c r="B302" s="9" t="n">
        <v>45828</v>
      </c>
      <c r="C302" s="4" t="s">
        <v>42</v>
      </c>
      <c r="D302" s="4" t="s">
        <v>302</v>
      </c>
      <c r="E302" s="4" t="n">
        <v>19</v>
      </c>
      <c r="F302" s="5" t="n">
        <f aca="false">INDEX(Products!$E:$E,MATCH(C302,Products!$A:$A,0))</f>
        <v>156.05</v>
      </c>
      <c r="G302" s="4" t="str">
        <f aca="false">INDEX(Products!$C:$C,MATCH(C302,Products!$A:$A,0))</f>
        <v>Electronics</v>
      </c>
      <c r="H302" s="4" t="str">
        <f aca="false">INDEX(Customers!$C:$C,MATCH(D302,Customers!$A:$A,0))</f>
        <v>R07</v>
      </c>
      <c r="I302" s="7" t="n">
        <f aca="false">INDEX(Regions!$C:$C,MATCH(H302,Regions!$A:$A,0))</f>
        <v>0.15</v>
      </c>
      <c r="J302" s="7" t="n">
        <f aca="false">INDEX(Regions!$D:$D,MATCH(H302,Regions!$A:$A,0))</f>
        <v>0.05</v>
      </c>
      <c r="K302" s="4" t="n">
        <f aca="false">INDEX(Regions!$E:$E,MATCH(H302,Regions!$A:$A,0))</f>
        <v>10</v>
      </c>
      <c r="L302" s="5" t="n">
        <f aca="false">E302*F302</f>
        <v>2964.95</v>
      </c>
      <c r="M302" s="5" t="n">
        <f aca="false">IF(E302&gt;=K302,L302*J302,0)</f>
        <v>148.2475</v>
      </c>
      <c r="N302" s="5" t="n">
        <f aca="false">(L302-M302)*I302</f>
        <v>422.505375</v>
      </c>
      <c r="O302" s="5" t="n">
        <f aca="false">L302-M302+N302</f>
        <v>3239.207875</v>
      </c>
    </row>
    <row r="303" customFormat="false" ht="15" hidden="false" customHeight="false" outlineLevel="0" collapsed="false">
      <c r="A303" s="4" t="s">
        <v>642</v>
      </c>
      <c r="B303" s="9" t="n">
        <v>45937</v>
      </c>
      <c r="C303" s="4" t="s">
        <v>46</v>
      </c>
      <c r="D303" s="4" t="s">
        <v>144</v>
      </c>
      <c r="E303" s="4" t="n">
        <v>12</v>
      </c>
      <c r="F303" s="5" t="n">
        <f aca="false">INDEX(Products!$E:$E,MATCH(C303,Products!$A:$A,0))</f>
        <v>37.16</v>
      </c>
      <c r="G303" s="4" t="str">
        <f aca="false">INDEX(Products!$C:$C,MATCH(C303,Products!$A:$A,0))</f>
        <v>Outdoor</v>
      </c>
      <c r="H303" s="4" t="str">
        <f aca="false">INDEX(Customers!$C:$C,MATCH(D303,Customers!$A:$A,0))</f>
        <v>R08</v>
      </c>
      <c r="I303" s="7" t="n">
        <f aca="false">INDEX(Regions!$C:$C,MATCH(H303,Regions!$A:$A,0))</f>
        <v>0.12</v>
      </c>
      <c r="J303" s="7" t="n">
        <f aca="false">INDEX(Regions!$D:$D,MATCH(H303,Regions!$A:$A,0))</f>
        <v>0.04</v>
      </c>
      <c r="K303" s="4" t="n">
        <f aca="false">INDEX(Regions!$E:$E,MATCH(H303,Regions!$A:$A,0))</f>
        <v>12</v>
      </c>
      <c r="L303" s="5" t="n">
        <f aca="false">E303*F303</f>
        <v>445.92</v>
      </c>
      <c r="M303" s="5" t="n">
        <f aca="false">IF(E303&gt;=K303,L303*J303,0)</f>
        <v>17.8368</v>
      </c>
      <c r="N303" s="5" t="n">
        <f aca="false">(L303-M303)*I303</f>
        <v>51.369984</v>
      </c>
      <c r="O303" s="5" t="n">
        <f aca="false">L303-M303+N303</f>
        <v>479.453184</v>
      </c>
    </row>
    <row r="304" customFormat="false" ht="15" hidden="false" customHeight="false" outlineLevel="0" collapsed="false">
      <c r="A304" s="4" t="s">
        <v>643</v>
      </c>
      <c r="B304" s="9" t="n">
        <v>45747</v>
      </c>
      <c r="C304" s="4" t="s">
        <v>71</v>
      </c>
      <c r="D304" s="4" t="s">
        <v>310</v>
      </c>
      <c r="E304" s="4" t="n">
        <v>21</v>
      </c>
      <c r="F304" s="5" t="n">
        <f aca="false">INDEX(Products!$E:$E,MATCH(C304,Products!$A:$A,0))</f>
        <v>59.51</v>
      </c>
      <c r="G304" s="4" t="str">
        <f aca="false">INDEX(Products!$C:$C,MATCH(C304,Products!$A:$A,0))</f>
        <v>Electronics</v>
      </c>
      <c r="H304" s="4" t="str">
        <f aca="false">INDEX(Customers!$C:$C,MATCH(D304,Customers!$A:$A,0))</f>
        <v>R04</v>
      </c>
      <c r="I304" s="7" t="n">
        <f aca="false">INDEX(Regions!$C:$C,MATCH(H304,Regions!$A:$A,0))</f>
        <v>0.08</v>
      </c>
      <c r="J304" s="7" t="n">
        <f aca="false">INDEX(Regions!$D:$D,MATCH(H304,Regions!$A:$A,0))</f>
        <v>0.05</v>
      </c>
      <c r="K304" s="4" t="n">
        <f aca="false">INDEX(Regions!$E:$E,MATCH(H304,Regions!$A:$A,0))</f>
        <v>10</v>
      </c>
      <c r="L304" s="5" t="n">
        <f aca="false">E304*F304</f>
        <v>1249.71</v>
      </c>
      <c r="M304" s="5" t="n">
        <f aca="false">IF(E304&gt;=K304,L304*J304,0)</f>
        <v>62.4855</v>
      </c>
      <c r="N304" s="5" t="n">
        <f aca="false">(L304-M304)*I304</f>
        <v>94.97796</v>
      </c>
      <c r="O304" s="5" t="n">
        <f aca="false">L304-M304+N304</f>
        <v>1282.20246</v>
      </c>
    </row>
    <row r="305" customFormat="false" ht="15" hidden="false" customHeight="false" outlineLevel="0" collapsed="false">
      <c r="A305" s="4" t="s">
        <v>644</v>
      </c>
      <c r="B305" s="9" t="n">
        <v>45981</v>
      </c>
      <c r="C305" s="4" t="s">
        <v>86</v>
      </c>
      <c r="D305" s="4" t="s">
        <v>290</v>
      </c>
      <c r="E305" s="4" t="n">
        <v>16</v>
      </c>
      <c r="F305" s="5" t="n">
        <f aca="false">INDEX(Products!$E:$E,MATCH(C305,Products!$A:$A,0))</f>
        <v>169.14</v>
      </c>
      <c r="G305" s="4" t="str">
        <f aca="false">INDEX(Products!$C:$C,MATCH(C305,Products!$A:$A,0))</f>
        <v>Office Supplies</v>
      </c>
      <c r="H305" s="4" t="str">
        <f aca="false">INDEX(Customers!$C:$C,MATCH(D305,Customers!$A:$A,0))</f>
        <v>R02</v>
      </c>
      <c r="I305" s="7" t="n">
        <f aca="false">INDEX(Regions!$C:$C,MATCH(H305,Regions!$A:$A,0))</f>
        <v>0.07</v>
      </c>
      <c r="J305" s="7" t="n">
        <f aca="false">INDEX(Regions!$D:$D,MATCH(H305,Regions!$A:$A,0))</f>
        <v>0.04</v>
      </c>
      <c r="K305" s="4" t="n">
        <f aca="false">INDEX(Regions!$E:$E,MATCH(H305,Regions!$A:$A,0))</f>
        <v>12</v>
      </c>
      <c r="L305" s="5" t="n">
        <f aca="false">E305*F305</f>
        <v>2706.24</v>
      </c>
      <c r="M305" s="5" t="n">
        <f aca="false">IF(E305&gt;=K305,L305*J305,0)</f>
        <v>108.2496</v>
      </c>
      <c r="N305" s="5" t="n">
        <f aca="false">(L305-M305)*I305</f>
        <v>181.859328</v>
      </c>
      <c r="O305" s="5" t="n">
        <f aca="false">L305-M305+N305</f>
        <v>2779.849728</v>
      </c>
    </row>
    <row r="306" customFormat="false" ht="15" hidden="false" customHeight="false" outlineLevel="0" collapsed="false">
      <c r="A306" s="4" t="s">
        <v>645</v>
      </c>
      <c r="B306" s="9" t="n">
        <v>45690</v>
      </c>
      <c r="C306" s="4" t="s">
        <v>52</v>
      </c>
      <c r="D306" s="4" t="s">
        <v>309</v>
      </c>
      <c r="E306" s="4" t="n">
        <v>5</v>
      </c>
      <c r="F306" s="5" t="n">
        <f aca="false">INDEX(Products!$E:$E,MATCH(C306,Products!$A:$A,0))</f>
        <v>237.1</v>
      </c>
      <c r="G306" s="4" t="str">
        <f aca="false">INDEX(Products!$C:$C,MATCH(C306,Products!$A:$A,0))</f>
        <v>Office Supplies</v>
      </c>
      <c r="H306" s="4" t="str">
        <f aca="false">INDEX(Customers!$C:$C,MATCH(D306,Customers!$A:$A,0))</f>
        <v>R08</v>
      </c>
      <c r="I306" s="7" t="n">
        <f aca="false">INDEX(Regions!$C:$C,MATCH(H306,Regions!$A:$A,0))</f>
        <v>0.12</v>
      </c>
      <c r="J306" s="7" t="n">
        <f aca="false">INDEX(Regions!$D:$D,MATCH(H306,Regions!$A:$A,0))</f>
        <v>0.04</v>
      </c>
      <c r="K306" s="4" t="n">
        <f aca="false">INDEX(Regions!$E:$E,MATCH(H306,Regions!$A:$A,0))</f>
        <v>12</v>
      </c>
      <c r="L306" s="5" t="n">
        <f aca="false">E306*F306</f>
        <v>1185.5</v>
      </c>
      <c r="M306" s="5" t="n">
        <f aca="false">IF(E306&gt;=K306,L306*J306,0)</f>
        <v>0</v>
      </c>
      <c r="N306" s="5" t="n">
        <f aca="false">(L306-M306)*I306</f>
        <v>142.26</v>
      </c>
      <c r="O306" s="5" t="n">
        <f aca="false">L306-M306+N306</f>
        <v>1327.76</v>
      </c>
    </row>
    <row r="307" customFormat="false" ht="15" hidden="false" customHeight="false" outlineLevel="0" collapsed="false">
      <c r="A307" s="4" t="s">
        <v>646</v>
      </c>
      <c r="B307" s="9" t="n">
        <v>45761</v>
      </c>
      <c r="C307" s="4" t="s">
        <v>86</v>
      </c>
      <c r="D307" s="4" t="s">
        <v>142</v>
      </c>
      <c r="E307" s="4" t="n">
        <v>10</v>
      </c>
      <c r="F307" s="5" t="n">
        <f aca="false">INDEX(Products!$E:$E,MATCH(C307,Products!$A:$A,0))</f>
        <v>169.14</v>
      </c>
      <c r="G307" s="4" t="str">
        <f aca="false">INDEX(Products!$C:$C,MATCH(C307,Products!$A:$A,0))</f>
        <v>Office Supplies</v>
      </c>
      <c r="H307" s="4" t="str">
        <f aca="false">INDEX(Customers!$C:$C,MATCH(D307,Customers!$A:$A,0))</f>
        <v>R07</v>
      </c>
      <c r="I307" s="7" t="n">
        <f aca="false">INDEX(Regions!$C:$C,MATCH(H307,Regions!$A:$A,0))</f>
        <v>0.15</v>
      </c>
      <c r="J307" s="7" t="n">
        <f aca="false">INDEX(Regions!$D:$D,MATCH(H307,Regions!$A:$A,0))</f>
        <v>0.05</v>
      </c>
      <c r="K307" s="4" t="n">
        <f aca="false">INDEX(Regions!$E:$E,MATCH(H307,Regions!$A:$A,0))</f>
        <v>10</v>
      </c>
      <c r="L307" s="5" t="n">
        <f aca="false">E307*F307</f>
        <v>1691.4</v>
      </c>
      <c r="M307" s="5" t="n">
        <f aca="false">IF(E307&gt;=K307,L307*J307,0)</f>
        <v>84.57</v>
      </c>
      <c r="N307" s="5" t="n">
        <f aca="false">(L307-M307)*I307</f>
        <v>241.0245</v>
      </c>
      <c r="O307" s="5" t="n">
        <f aca="false">L307-M307+N307</f>
        <v>1847.8545</v>
      </c>
    </row>
    <row r="308" customFormat="false" ht="15" hidden="false" customHeight="false" outlineLevel="0" collapsed="false">
      <c r="A308" s="4" t="s">
        <v>647</v>
      </c>
      <c r="B308" s="9" t="n">
        <v>45679</v>
      </c>
      <c r="C308" s="4" t="s">
        <v>32</v>
      </c>
      <c r="D308" s="4" t="s">
        <v>306</v>
      </c>
      <c r="E308" s="4" t="n">
        <v>7</v>
      </c>
      <c r="F308" s="5" t="n">
        <f aca="false">INDEX(Products!$E:$E,MATCH(C308,Products!$A:$A,0))</f>
        <v>112.96</v>
      </c>
      <c r="G308" s="4" t="str">
        <f aca="false">INDEX(Products!$C:$C,MATCH(C308,Products!$A:$A,0))</f>
        <v>Home &amp; Kitchen</v>
      </c>
      <c r="H308" s="4" t="str">
        <f aca="false">INDEX(Customers!$C:$C,MATCH(D308,Customers!$A:$A,0))</f>
        <v>R01</v>
      </c>
      <c r="I308" s="7" t="n">
        <f aca="false">INDEX(Regions!$C:$C,MATCH(H308,Regions!$A:$A,0))</f>
        <v>0.0825</v>
      </c>
      <c r="J308" s="7" t="n">
        <f aca="false">INDEX(Regions!$D:$D,MATCH(H308,Regions!$A:$A,0))</f>
        <v>0.05</v>
      </c>
      <c r="K308" s="4" t="n">
        <f aca="false">INDEX(Regions!$E:$E,MATCH(H308,Regions!$A:$A,0))</f>
        <v>10</v>
      </c>
      <c r="L308" s="5" t="n">
        <f aca="false">E308*F308</f>
        <v>790.72</v>
      </c>
      <c r="M308" s="5" t="n">
        <f aca="false">IF(E308&gt;=K308,L308*J308,0)</f>
        <v>0</v>
      </c>
      <c r="N308" s="5" t="n">
        <f aca="false">(L308-M308)*I308</f>
        <v>65.2344</v>
      </c>
      <c r="O308" s="5" t="n">
        <f aca="false">L308-M308+N308</f>
        <v>855.9544</v>
      </c>
    </row>
    <row r="309" customFormat="false" ht="15" hidden="false" customHeight="false" outlineLevel="0" collapsed="false">
      <c r="A309" s="4" t="s">
        <v>648</v>
      </c>
      <c r="B309" s="9" t="n">
        <v>45921</v>
      </c>
      <c r="C309" s="4" t="s">
        <v>69</v>
      </c>
      <c r="D309" s="4" t="s">
        <v>333</v>
      </c>
      <c r="E309" s="4" t="n">
        <v>10</v>
      </c>
      <c r="F309" s="5" t="n">
        <f aca="false">INDEX(Products!$E:$E,MATCH(C309,Products!$A:$A,0))</f>
        <v>173.5</v>
      </c>
      <c r="G309" s="4" t="str">
        <f aca="false">INDEX(Products!$C:$C,MATCH(C309,Products!$A:$A,0))</f>
        <v>Home &amp; Kitchen</v>
      </c>
      <c r="H309" s="4" t="str">
        <f aca="false">INDEX(Customers!$C:$C,MATCH(D309,Customers!$A:$A,0))</f>
        <v>R02</v>
      </c>
      <c r="I309" s="7" t="n">
        <f aca="false">INDEX(Regions!$C:$C,MATCH(H309,Regions!$A:$A,0))</f>
        <v>0.07</v>
      </c>
      <c r="J309" s="7" t="n">
        <f aca="false">INDEX(Regions!$D:$D,MATCH(H309,Regions!$A:$A,0))</f>
        <v>0.04</v>
      </c>
      <c r="K309" s="4" t="n">
        <f aca="false">INDEX(Regions!$E:$E,MATCH(H309,Regions!$A:$A,0))</f>
        <v>12</v>
      </c>
      <c r="L309" s="5" t="n">
        <f aca="false">E309*F309</f>
        <v>1735</v>
      </c>
      <c r="M309" s="5" t="n">
        <f aca="false">IF(E309&gt;=K309,L309*J309,0)</f>
        <v>0</v>
      </c>
      <c r="N309" s="5" t="n">
        <f aca="false">(L309-M309)*I309</f>
        <v>121.45</v>
      </c>
      <c r="O309" s="5" t="n">
        <f aca="false">L309-M309+N309</f>
        <v>1856.45</v>
      </c>
    </row>
    <row r="310" customFormat="false" ht="15" hidden="false" customHeight="false" outlineLevel="0" collapsed="false">
      <c r="A310" s="4" t="s">
        <v>649</v>
      </c>
      <c r="B310" s="9" t="n">
        <v>45900</v>
      </c>
      <c r="C310" s="4" t="s">
        <v>79</v>
      </c>
      <c r="D310" s="4" t="s">
        <v>310</v>
      </c>
      <c r="E310" s="4" t="n">
        <v>18</v>
      </c>
      <c r="F310" s="5" t="n">
        <f aca="false">INDEX(Products!$E:$E,MATCH(C310,Products!$A:$A,0))</f>
        <v>53.77</v>
      </c>
      <c r="G310" s="4" t="str">
        <f aca="false">INDEX(Products!$C:$C,MATCH(C310,Products!$A:$A,0))</f>
        <v>Office Supplies</v>
      </c>
      <c r="H310" s="4" t="str">
        <f aca="false">INDEX(Customers!$C:$C,MATCH(D310,Customers!$A:$A,0))</f>
        <v>R04</v>
      </c>
      <c r="I310" s="7" t="n">
        <f aca="false">INDEX(Regions!$C:$C,MATCH(H310,Regions!$A:$A,0))</f>
        <v>0.08</v>
      </c>
      <c r="J310" s="7" t="n">
        <f aca="false">INDEX(Regions!$D:$D,MATCH(H310,Regions!$A:$A,0))</f>
        <v>0.05</v>
      </c>
      <c r="K310" s="4" t="n">
        <f aca="false">INDEX(Regions!$E:$E,MATCH(H310,Regions!$A:$A,0))</f>
        <v>10</v>
      </c>
      <c r="L310" s="5" t="n">
        <f aca="false">E310*F310</f>
        <v>967.86</v>
      </c>
      <c r="M310" s="5" t="n">
        <f aca="false">IF(E310&gt;=K310,L310*J310,0)</f>
        <v>48.393</v>
      </c>
      <c r="N310" s="5" t="n">
        <f aca="false">(L310-M310)*I310</f>
        <v>73.55736</v>
      </c>
      <c r="O310" s="5" t="n">
        <f aca="false">L310-M310+N310</f>
        <v>993.02436</v>
      </c>
    </row>
    <row r="311" customFormat="false" ht="15" hidden="false" customHeight="false" outlineLevel="0" collapsed="false">
      <c r="A311" s="4" t="s">
        <v>650</v>
      </c>
      <c r="B311" s="9" t="n">
        <v>45989</v>
      </c>
      <c r="C311" s="4" t="s">
        <v>62</v>
      </c>
      <c r="D311" s="4" t="s">
        <v>142</v>
      </c>
      <c r="E311" s="4" t="n">
        <v>25</v>
      </c>
      <c r="F311" s="5" t="n">
        <f aca="false">INDEX(Products!$E:$E,MATCH(C311,Products!$A:$A,0))</f>
        <v>329.87</v>
      </c>
      <c r="G311" s="4" t="str">
        <f aca="false">INDEX(Products!$C:$C,MATCH(C311,Products!$A:$A,0))</f>
        <v>Electronics</v>
      </c>
      <c r="H311" s="4" t="str">
        <f aca="false">INDEX(Customers!$C:$C,MATCH(D311,Customers!$A:$A,0))</f>
        <v>R07</v>
      </c>
      <c r="I311" s="7" t="n">
        <f aca="false">INDEX(Regions!$C:$C,MATCH(H311,Regions!$A:$A,0))</f>
        <v>0.15</v>
      </c>
      <c r="J311" s="7" t="n">
        <f aca="false">INDEX(Regions!$D:$D,MATCH(H311,Regions!$A:$A,0))</f>
        <v>0.05</v>
      </c>
      <c r="K311" s="4" t="n">
        <f aca="false">INDEX(Regions!$E:$E,MATCH(H311,Regions!$A:$A,0))</f>
        <v>10</v>
      </c>
      <c r="L311" s="5" t="n">
        <f aca="false">E311*F311</f>
        <v>8246.75</v>
      </c>
      <c r="M311" s="5" t="n">
        <f aca="false">IF(E311&gt;=K311,L311*J311,0)</f>
        <v>412.3375</v>
      </c>
      <c r="N311" s="5" t="n">
        <f aca="false">(L311-M311)*I311</f>
        <v>1175.161875</v>
      </c>
      <c r="O311" s="5" t="n">
        <f aca="false">L311-M311+N311</f>
        <v>9009.574375</v>
      </c>
    </row>
    <row r="312" customFormat="false" ht="15" hidden="false" customHeight="false" outlineLevel="0" collapsed="false">
      <c r="A312" s="4" t="s">
        <v>651</v>
      </c>
      <c r="B312" s="9" t="n">
        <v>45682</v>
      </c>
      <c r="C312" s="4" t="s">
        <v>54</v>
      </c>
      <c r="D312" s="4" t="s">
        <v>205</v>
      </c>
      <c r="E312" s="4" t="n">
        <v>12</v>
      </c>
      <c r="F312" s="5" t="n">
        <f aca="false">INDEX(Products!$E:$E,MATCH(C312,Products!$A:$A,0))</f>
        <v>84.7</v>
      </c>
      <c r="G312" s="4" t="str">
        <f aca="false">INDEX(Products!$C:$C,MATCH(C312,Products!$A:$A,0))</f>
        <v>Office Supplies</v>
      </c>
      <c r="H312" s="4" t="str">
        <f aca="false">INDEX(Customers!$C:$C,MATCH(D312,Customers!$A:$A,0))</f>
        <v>R03</v>
      </c>
      <c r="I312" s="7" t="n">
        <f aca="false">INDEX(Regions!$C:$C,MATCH(H312,Regions!$A:$A,0))</f>
        <v>0.0625</v>
      </c>
      <c r="J312" s="7" t="n">
        <f aca="false">INDEX(Regions!$D:$D,MATCH(H312,Regions!$A:$A,0))</f>
        <v>0.03</v>
      </c>
      <c r="K312" s="4" t="n">
        <f aca="false">INDEX(Regions!$E:$E,MATCH(H312,Regions!$A:$A,0))</f>
        <v>15</v>
      </c>
      <c r="L312" s="5" t="n">
        <f aca="false">E312*F312</f>
        <v>1016.4</v>
      </c>
      <c r="M312" s="5" t="n">
        <f aca="false">IF(E312&gt;=K312,L312*J312,0)</f>
        <v>0</v>
      </c>
      <c r="N312" s="5" t="n">
        <f aca="false">(L312-M312)*I312</f>
        <v>63.525</v>
      </c>
      <c r="O312" s="5" t="n">
        <f aca="false">L312-M312+N312</f>
        <v>1079.925</v>
      </c>
    </row>
    <row r="313" customFormat="false" ht="15" hidden="false" customHeight="false" outlineLevel="0" collapsed="false">
      <c r="A313" s="4" t="s">
        <v>652</v>
      </c>
      <c r="B313" s="9" t="n">
        <v>45846</v>
      </c>
      <c r="C313" s="4" t="s">
        <v>71</v>
      </c>
      <c r="D313" s="4" t="s">
        <v>201</v>
      </c>
      <c r="E313" s="4" t="n">
        <v>4</v>
      </c>
      <c r="F313" s="5" t="n">
        <f aca="false">INDEX(Products!$E:$E,MATCH(C313,Products!$A:$A,0))</f>
        <v>59.51</v>
      </c>
      <c r="G313" s="4" t="str">
        <f aca="false">INDEX(Products!$C:$C,MATCH(C313,Products!$A:$A,0))</f>
        <v>Electronics</v>
      </c>
      <c r="H313" s="4" t="str">
        <f aca="false">INDEX(Customers!$C:$C,MATCH(D313,Customers!$A:$A,0))</f>
        <v>R04</v>
      </c>
      <c r="I313" s="7" t="n">
        <f aca="false">INDEX(Regions!$C:$C,MATCH(H313,Regions!$A:$A,0))</f>
        <v>0.08</v>
      </c>
      <c r="J313" s="7" t="n">
        <f aca="false">INDEX(Regions!$D:$D,MATCH(H313,Regions!$A:$A,0))</f>
        <v>0.05</v>
      </c>
      <c r="K313" s="4" t="n">
        <f aca="false">INDEX(Regions!$E:$E,MATCH(H313,Regions!$A:$A,0))</f>
        <v>10</v>
      </c>
      <c r="L313" s="5" t="n">
        <f aca="false">E313*F313</f>
        <v>238.04</v>
      </c>
      <c r="M313" s="5" t="n">
        <f aca="false">IF(E313&gt;=K313,L313*J313,0)</f>
        <v>0</v>
      </c>
      <c r="N313" s="5" t="n">
        <f aca="false">(L313-M313)*I313</f>
        <v>19.0432</v>
      </c>
      <c r="O313" s="5" t="n">
        <f aca="false">L313-M313+N313</f>
        <v>257.0832</v>
      </c>
    </row>
    <row r="314" customFormat="false" ht="15" hidden="false" customHeight="false" outlineLevel="0" collapsed="false">
      <c r="A314" s="4" t="s">
        <v>653</v>
      </c>
      <c r="B314" s="9" t="n">
        <v>45883</v>
      </c>
      <c r="C314" s="4" t="s">
        <v>82</v>
      </c>
      <c r="D314" s="4" t="s">
        <v>323</v>
      </c>
      <c r="E314" s="4" t="n">
        <v>13</v>
      </c>
      <c r="F314" s="5" t="n">
        <f aca="false">INDEX(Products!$E:$E,MATCH(C314,Products!$A:$A,0))</f>
        <v>365.87</v>
      </c>
      <c r="G314" s="4" t="str">
        <f aca="false">INDEX(Products!$C:$C,MATCH(C314,Products!$A:$A,0))</f>
        <v>Office Supplies</v>
      </c>
      <c r="H314" s="4" t="str">
        <f aca="false">INDEX(Customers!$C:$C,MATCH(D314,Customers!$A:$A,0))</f>
        <v>R05</v>
      </c>
      <c r="I314" s="7" t="n">
        <f aca="false">INDEX(Regions!$C:$C,MATCH(H314,Regions!$A:$A,0))</f>
        <v>0.0925</v>
      </c>
      <c r="J314" s="7" t="n">
        <f aca="false">INDEX(Regions!$D:$D,MATCH(H314,Regions!$A:$A,0))</f>
        <v>0.06</v>
      </c>
      <c r="K314" s="4" t="n">
        <f aca="false">INDEX(Regions!$E:$E,MATCH(H314,Regions!$A:$A,0))</f>
        <v>8</v>
      </c>
      <c r="L314" s="5" t="n">
        <f aca="false">E314*F314</f>
        <v>4756.31</v>
      </c>
      <c r="M314" s="5" t="n">
        <f aca="false">IF(E314&gt;=K314,L314*J314,0)</f>
        <v>285.3786</v>
      </c>
      <c r="N314" s="5" t="n">
        <f aca="false">(L314-M314)*I314</f>
        <v>413.5611545</v>
      </c>
      <c r="O314" s="5" t="n">
        <f aca="false">L314-M314+N314</f>
        <v>4884.4925545</v>
      </c>
    </row>
    <row r="315" customFormat="false" ht="15" hidden="false" customHeight="false" outlineLevel="0" collapsed="false">
      <c r="A315" s="4" t="s">
        <v>654</v>
      </c>
      <c r="B315" s="9" t="n">
        <v>45912</v>
      </c>
      <c r="C315" s="4" t="s">
        <v>77</v>
      </c>
      <c r="D315" s="4" t="s">
        <v>218</v>
      </c>
      <c r="E315" s="4" t="n">
        <v>6</v>
      </c>
      <c r="F315" s="5" t="n">
        <f aca="false">INDEX(Products!$E:$E,MATCH(C315,Products!$A:$A,0))</f>
        <v>302.78</v>
      </c>
      <c r="G315" s="4" t="str">
        <f aca="false">INDEX(Products!$C:$C,MATCH(C315,Products!$A:$A,0))</f>
        <v>Electronics</v>
      </c>
      <c r="H315" s="4" t="str">
        <f aca="false">INDEX(Customers!$C:$C,MATCH(D315,Customers!$A:$A,0))</f>
        <v>R06</v>
      </c>
      <c r="I315" s="7" t="n">
        <f aca="false">INDEX(Regions!$C:$C,MATCH(H315,Regions!$A:$A,0))</f>
        <v>0.06</v>
      </c>
      <c r="J315" s="7" t="n">
        <f aca="false">INDEX(Regions!$D:$D,MATCH(H315,Regions!$A:$A,0))</f>
        <v>0.04</v>
      </c>
      <c r="K315" s="4" t="n">
        <f aca="false">INDEX(Regions!$E:$E,MATCH(H315,Regions!$A:$A,0))</f>
        <v>12</v>
      </c>
      <c r="L315" s="5" t="n">
        <f aca="false">E315*F315</f>
        <v>1816.68</v>
      </c>
      <c r="M315" s="5" t="n">
        <f aca="false">IF(E315&gt;=K315,L315*J315,0)</f>
        <v>0</v>
      </c>
      <c r="N315" s="5" t="n">
        <f aca="false">(L315-M315)*I315</f>
        <v>109.0008</v>
      </c>
      <c r="O315" s="5" t="n">
        <f aca="false">L315-M315+N315</f>
        <v>1925.6808</v>
      </c>
    </row>
    <row r="316" customFormat="false" ht="15" hidden="false" customHeight="false" outlineLevel="0" collapsed="false">
      <c r="A316" s="4" t="s">
        <v>655</v>
      </c>
      <c r="B316" s="9" t="n">
        <v>45923</v>
      </c>
      <c r="C316" s="4" t="s">
        <v>90</v>
      </c>
      <c r="D316" s="4" t="s">
        <v>224</v>
      </c>
      <c r="E316" s="4" t="n">
        <v>30</v>
      </c>
      <c r="F316" s="5" t="n">
        <f aca="false">INDEX(Products!$E:$E,MATCH(C316,Products!$A:$A,0))</f>
        <v>446.56</v>
      </c>
      <c r="G316" s="4" t="str">
        <f aca="false">INDEX(Products!$C:$C,MATCH(C316,Products!$A:$A,0))</f>
        <v>Outdoor</v>
      </c>
      <c r="H316" s="4" t="str">
        <f aca="false">INDEX(Customers!$C:$C,MATCH(D316,Customers!$A:$A,0))</f>
        <v>R01</v>
      </c>
      <c r="I316" s="7" t="n">
        <f aca="false">INDEX(Regions!$C:$C,MATCH(H316,Regions!$A:$A,0))</f>
        <v>0.0825</v>
      </c>
      <c r="J316" s="7" t="n">
        <f aca="false">INDEX(Regions!$D:$D,MATCH(H316,Regions!$A:$A,0))</f>
        <v>0.05</v>
      </c>
      <c r="K316" s="4" t="n">
        <f aca="false">INDEX(Regions!$E:$E,MATCH(H316,Regions!$A:$A,0))</f>
        <v>10</v>
      </c>
      <c r="L316" s="5" t="n">
        <f aca="false">E316*F316</f>
        <v>13396.8</v>
      </c>
      <c r="M316" s="5" t="n">
        <f aca="false">IF(E316&gt;=K316,L316*J316,0)</f>
        <v>669.84</v>
      </c>
      <c r="N316" s="5" t="n">
        <f aca="false">(L316-M316)*I316</f>
        <v>1049.9742</v>
      </c>
      <c r="O316" s="5" t="n">
        <f aca="false">L316-M316+N316</f>
        <v>13776.9342</v>
      </c>
    </row>
    <row r="317" customFormat="false" ht="15" hidden="false" customHeight="false" outlineLevel="0" collapsed="false">
      <c r="A317" s="4" t="s">
        <v>656</v>
      </c>
      <c r="B317" s="9" t="n">
        <v>45875</v>
      </c>
      <c r="C317" s="4" t="s">
        <v>64</v>
      </c>
      <c r="D317" s="4" t="s">
        <v>307</v>
      </c>
      <c r="E317" s="4" t="n">
        <v>3</v>
      </c>
      <c r="F317" s="5" t="n">
        <f aca="false">INDEX(Products!$E:$E,MATCH(C317,Products!$A:$A,0))</f>
        <v>340.32</v>
      </c>
      <c r="G317" s="4" t="str">
        <f aca="false">INDEX(Products!$C:$C,MATCH(C317,Products!$A:$A,0))</f>
        <v>Apparel</v>
      </c>
      <c r="H317" s="4" t="str">
        <f aca="false">INDEX(Customers!$C:$C,MATCH(D317,Customers!$A:$A,0))</f>
        <v>R07</v>
      </c>
      <c r="I317" s="7" t="n">
        <f aca="false">INDEX(Regions!$C:$C,MATCH(H317,Regions!$A:$A,0))</f>
        <v>0.15</v>
      </c>
      <c r="J317" s="7" t="n">
        <f aca="false">INDEX(Regions!$D:$D,MATCH(H317,Regions!$A:$A,0))</f>
        <v>0.05</v>
      </c>
      <c r="K317" s="4" t="n">
        <f aca="false">INDEX(Regions!$E:$E,MATCH(H317,Regions!$A:$A,0))</f>
        <v>10</v>
      </c>
      <c r="L317" s="5" t="n">
        <f aca="false">E317*F317</f>
        <v>1020.96</v>
      </c>
      <c r="M317" s="5" t="n">
        <f aca="false">IF(E317&gt;=K317,L317*J317,0)</f>
        <v>0</v>
      </c>
      <c r="N317" s="5" t="n">
        <f aca="false">(L317-M317)*I317</f>
        <v>153.144</v>
      </c>
      <c r="O317" s="5" t="n">
        <f aca="false">L317-M317+N317</f>
        <v>1174.104</v>
      </c>
    </row>
    <row r="318" customFormat="false" ht="15" hidden="false" customHeight="false" outlineLevel="0" collapsed="false">
      <c r="A318" s="4" t="s">
        <v>657</v>
      </c>
      <c r="B318" s="9" t="n">
        <v>45750</v>
      </c>
      <c r="C318" s="4" t="s">
        <v>40</v>
      </c>
      <c r="D318" s="4" t="s">
        <v>239</v>
      </c>
      <c r="E318" s="4" t="n">
        <v>20</v>
      </c>
      <c r="F318" s="5" t="n">
        <f aca="false">INDEX(Products!$E:$E,MATCH(C318,Products!$A:$A,0))</f>
        <v>93.05</v>
      </c>
      <c r="G318" s="4" t="str">
        <f aca="false">INDEX(Products!$C:$C,MATCH(C318,Products!$A:$A,0))</f>
        <v>Office Supplies</v>
      </c>
      <c r="H318" s="4" t="str">
        <f aca="false">INDEX(Customers!$C:$C,MATCH(D318,Customers!$A:$A,0))</f>
        <v>R08</v>
      </c>
      <c r="I318" s="7" t="n">
        <f aca="false">INDEX(Regions!$C:$C,MATCH(H318,Regions!$A:$A,0))</f>
        <v>0.12</v>
      </c>
      <c r="J318" s="7" t="n">
        <f aca="false">INDEX(Regions!$D:$D,MATCH(H318,Regions!$A:$A,0))</f>
        <v>0.04</v>
      </c>
      <c r="K318" s="4" t="n">
        <f aca="false">INDEX(Regions!$E:$E,MATCH(H318,Regions!$A:$A,0))</f>
        <v>12</v>
      </c>
      <c r="L318" s="5" t="n">
        <f aca="false">E318*F318</f>
        <v>1861</v>
      </c>
      <c r="M318" s="5" t="n">
        <f aca="false">IF(E318&gt;=K318,L318*J318,0)</f>
        <v>74.44</v>
      </c>
      <c r="N318" s="5" t="n">
        <f aca="false">(L318-M318)*I318</f>
        <v>214.3872</v>
      </c>
      <c r="O318" s="5" t="n">
        <f aca="false">L318-M318+N318</f>
        <v>2000.9472</v>
      </c>
    </row>
    <row r="319" customFormat="false" ht="15" hidden="false" customHeight="false" outlineLevel="0" collapsed="false">
      <c r="A319" s="4" t="s">
        <v>658</v>
      </c>
      <c r="B319" s="9" t="n">
        <v>45710</v>
      </c>
      <c r="C319" s="4" t="s">
        <v>96</v>
      </c>
      <c r="D319" s="4" t="s">
        <v>206</v>
      </c>
      <c r="E319" s="4" t="n">
        <v>11</v>
      </c>
      <c r="F319" s="5" t="n">
        <f aca="false">INDEX(Products!$E:$E,MATCH(C319,Products!$A:$A,0))</f>
        <v>195.64</v>
      </c>
      <c r="G319" s="4" t="str">
        <f aca="false">INDEX(Products!$C:$C,MATCH(C319,Products!$A:$A,0))</f>
        <v>Office Supplies</v>
      </c>
      <c r="H319" s="4" t="str">
        <f aca="false">INDEX(Customers!$C:$C,MATCH(D319,Customers!$A:$A,0))</f>
        <v>R07</v>
      </c>
      <c r="I319" s="7" t="n">
        <f aca="false">INDEX(Regions!$C:$C,MATCH(H319,Regions!$A:$A,0))</f>
        <v>0.15</v>
      </c>
      <c r="J319" s="7" t="n">
        <f aca="false">INDEX(Regions!$D:$D,MATCH(H319,Regions!$A:$A,0))</f>
        <v>0.05</v>
      </c>
      <c r="K319" s="4" t="n">
        <f aca="false">INDEX(Regions!$E:$E,MATCH(H319,Regions!$A:$A,0))</f>
        <v>10</v>
      </c>
      <c r="L319" s="5" t="n">
        <f aca="false">E319*F319</f>
        <v>2152.04</v>
      </c>
      <c r="M319" s="5" t="n">
        <f aca="false">IF(E319&gt;=K319,L319*J319,0)</f>
        <v>107.602</v>
      </c>
      <c r="N319" s="5" t="n">
        <f aca="false">(L319-M319)*I319</f>
        <v>306.6657</v>
      </c>
      <c r="O319" s="5" t="n">
        <f aca="false">L319-M319+N319</f>
        <v>2351.1037</v>
      </c>
    </row>
    <row r="320" customFormat="false" ht="15" hidden="false" customHeight="false" outlineLevel="0" collapsed="false">
      <c r="A320" s="4" t="s">
        <v>659</v>
      </c>
      <c r="B320" s="9" t="n">
        <v>45809</v>
      </c>
      <c r="C320" s="4" t="s">
        <v>40</v>
      </c>
      <c r="D320" s="4" t="s">
        <v>214</v>
      </c>
      <c r="E320" s="4" t="n">
        <v>22</v>
      </c>
      <c r="F320" s="5" t="n">
        <f aca="false">INDEX(Products!$E:$E,MATCH(C320,Products!$A:$A,0))</f>
        <v>93.05</v>
      </c>
      <c r="G320" s="4" t="str">
        <f aca="false">INDEX(Products!$C:$C,MATCH(C320,Products!$A:$A,0))</f>
        <v>Office Supplies</v>
      </c>
      <c r="H320" s="4" t="str">
        <f aca="false">INDEX(Customers!$C:$C,MATCH(D320,Customers!$A:$A,0))</f>
        <v>R07</v>
      </c>
      <c r="I320" s="7" t="n">
        <f aca="false">INDEX(Regions!$C:$C,MATCH(H320,Regions!$A:$A,0))</f>
        <v>0.15</v>
      </c>
      <c r="J320" s="7" t="n">
        <f aca="false">INDEX(Regions!$D:$D,MATCH(H320,Regions!$A:$A,0))</f>
        <v>0.05</v>
      </c>
      <c r="K320" s="4" t="n">
        <f aca="false">INDEX(Regions!$E:$E,MATCH(H320,Regions!$A:$A,0))</f>
        <v>10</v>
      </c>
      <c r="L320" s="5" t="n">
        <f aca="false">E320*F320</f>
        <v>2047.1</v>
      </c>
      <c r="M320" s="5" t="n">
        <f aca="false">IF(E320&gt;=K320,L320*J320,0)</f>
        <v>102.355</v>
      </c>
      <c r="N320" s="5" t="n">
        <f aca="false">(L320-M320)*I320</f>
        <v>291.71175</v>
      </c>
      <c r="O320" s="5" t="n">
        <f aca="false">L320-M320+N320</f>
        <v>2236.45675</v>
      </c>
    </row>
    <row r="321" customFormat="false" ht="15" hidden="false" customHeight="false" outlineLevel="0" collapsed="false">
      <c r="A321" s="4" t="s">
        <v>660</v>
      </c>
      <c r="B321" s="9" t="n">
        <v>45876</v>
      </c>
      <c r="C321" s="4" t="s">
        <v>67</v>
      </c>
      <c r="D321" s="4" t="s">
        <v>241</v>
      </c>
      <c r="E321" s="4" t="n">
        <v>20</v>
      </c>
      <c r="F321" s="5" t="n">
        <f aca="false">INDEX(Products!$E:$E,MATCH(C321,Products!$A:$A,0))</f>
        <v>198.43</v>
      </c>
      <c r="G321" s="4" t="str">
        <f aca="false">INDEX(Products!$C:$C,MATCH(C321,Products!$A:$A,0))</f>
        <v>Apparel</v>
      </c>
      <c r="H321" s="4" t="str">
        <f aca="false">INDEX(Customers!$C:$C,MATCH(D321,Customers!$A:$A,0))</f>
        <v>R04</v>
      </c>
      <c r="I321" s="7" t="n">
        <f aca="false">INDEX(Regions!$C:$C,MATCH(H321,Regions!$A:$A,0))</f>
        <v>0.08</v>
      </c>
      <c r="J321" s="7" t="n">
        <f aca="false">INDEX(Regions!$D:$D,MATCH(H321,Regions!$A:$A,0))</f>
        <v>0.05</v>
      </c>
      <c r="K321" s="4" t="n">
        <f aca="false">INDEX(Regions!$E:$E,MATCH(H321,Regions!$A:$A,0))</f>
        <v>10</v>
      </c>
      <c r="L321" s="5" t="n">
        <f aca="false">E321*F321</f>
        <v>3968.6</v>
      </c>
      <c r="M321" s="5" t="n">
        <f aca="false">IF(E321&gt;=K321,L321*J321,0)</f>
        <v>198.43</v>
      </c>
      <c r="N321" s="5" t="n">
        <f aca="false">(L321-M321)*I321</f>
        <v>301.6136</v>
      </c>
      <c r="O321" s="5" t="n">
        <f aca="false">L321-M321+N321</f>
        <v>4071.7836</v>
      </c>
    </row>
    <row r="322" customFormat="false" ht="15" hidden="false" customHeight="false" outlineLevel="0" collapsed="false">
      <c r="A322" s="4" t="s">
        <v>661</v>
      </c>
      <c r="B322" s="9" t="n">
        <v>45837</v>
      </c>
      <c r="C322" s="4" t="s">
        <v>50</v>
      </c>
      <c r="D322" s="4" t="s">
        <v>289</v>
      </c>
      <c r="E322" s="4" t="n">
        <v>15</v>
      </c>
      <c r="F322" s="5" t="n">
        <f aca="false">INDEX(Products!$E:$E,MATCH(C322,Products!$A:$A,0))</f>
        <v>508.17</v>
      </c>
      <c r="G322" s="4" t="str">
        <f aca="false">INDEX(Products!$C:$C,MATCH(C322,Products!$A:$A,0))</f>
        <v>Office Supplies</v>
      </c>
      <c r="H322" s="4" t="str">
        <f aca="false">INDEX(Customers!$C:$C,MATCH(D322,Customers!$A:$A,0))</f>
        <v>R04</v>
      </c>
      <c r="I322" s="7" t="n">
        <f aca="false">INDEX(Regions!$C:$C,MATCH(H322,Regions!$A:$A,0))</f>
        <v>0.08</v>
      </c>
      <c r="J322" s="7" t="n">
        <f aca="false">INDEX(Regions!$D:$D,MATCH(H322,Regions!$A:$A,0))</f>
        <v>0.05</v>
      </c>
      <c r="K322" s="4" t="n">
        <f aca="false">INDEX(Regions!$E:$E,MATCH(H322,Regions!$A:$A,0))</f>
        <v>10</v>
      </c>
      <c r="L322" s="5" t="n">
        <f aca="false">E322*F322</f>
        <v>7622.55</v>
      </c>
      <c r="M322" s="5" t="n">
        <f aca="false">IF(E322&gt;=K322,L322*J322,0)</f>
        <v>381.1275</v>
      </c>
      <c r="N322" s="5" t="n">
        <f aca="false">(L322-M322)*I322</f>
        <v>579.3138</v>
      </c>
      <c r="O322" s="5" t="n">
        <f aca="false">L322-M322+N322</f>
        <v>7820.7363</v>
      </c>
    </row>
    <row r="323" customFormat="false" ht="15" hidden="false" customHeight="false" outlineLevel="0" collapsed="false">
      <c r="A323" s="4" t="s">
        <v>662</v>
      </c>
      <c r="B323" s="9" t="n">
        <v>45838</v>
      </c>
      <c r="C323" s="4" t="s">
        <v>84</v>
      </c>
      <c r="D323" s="4" t="s">
        <v>144</v>
      </c>
      <c r="E323" s="4" t="n">
        <v>24</v>
      </c>
      <c r="F323" s="5" t="n">
        <f aca="false">INDEX(Products!$E:$E,MATCH(C323,Products!$A:$A,0))</f>
        <v>338.07</v>
      </c>
      <c r="G323" s="4" t="str">
        <f aca="false">INDEX(Products!$C:$C,MATCH(C323,Products!$A:$A,0))</f>
        <v>Office Supplies</v>
      </c>
      <c r="H323" s="4" t="str">
        <f aca="false">INDEX(Customers!$C:$C,MATCH(D323,Customers!$A:$A,0))</f>
        <v>R08</v>
      </c>
      <c r="I323" s="7" t="n">
        <f aca="false">INDEX(Regions!$C:$C,MATCH(H323,Regions!$A:$A,0))</f>
        <v>0.12</v>
      </c>
      <c r="J323" s="7" t="n">
        <f aca="false">INDEX(Regions!$D:$D,MATCH(H323,Regions!$A:$A,0))</f>
        <v>0.04</v>
      </c>
      <c r="K323" s="4" t="n">
        <f aca="false">INDEX(Regions!$E:$E,MATCH(H323,Regions!$A:$A,0))</f>
        <v>12</v>
      </c>
      <c r="L323" s="5" t="n">
        <f aca="false">E323*F323</f>
        <v>8113.68</v>
      </c>
      <c r="M323" s="5" t="n">
        <f aca="false">IF(E323&gt;=K323,L323*J323,0)</f>
        <v>324.5472</v>
      </c>
      <c r="N323" s="5" t="n">
        <f aca="false">(L323-M323)*I323</f>
        <v>934.695936</v>
      </c>
      <c r="O323" s="5" t="n">
        <f aca="false">L323-M323+N323</f>
        <v>8723.828736</v>
      </c>
    </row>
    <row r="324" customFormat="false" ht="15" hidden="false" customHeight="false" outlineLevel="0" collapsed="false">
      <c r="A324" s="4" t="s">
        <v>663</v>
      </c>
      <c r="B324" s="9" t="n">
        <v>45985</v>
      </c>
      <c r="C324" s="4" t="s">
        <v>105</v>
      </c>
      <c r="D324" s="4" t="s">
        <v>239</v>
      </c>
      <c r="E324" s="4" t="n">
        <v>9</v>
      </c>
      <c r="F324" s="5" t="n">
        <f aca="false">INDEX(Products!$E:$E,MATCH(C324,Products!$A:$A,0))</f>
        <v>216.46</v>
      </c>
      <c r="G324" s="4" t="str">
        <f aca="false">INDEX(Products!$C:$C,MATCH(C324,Products!$A:$A,0))</f>
        <v>Apparel</v>
      </c>
      <c r="H324" s="4" t="str">
        <f aca="false">INDEX(Customers!$C:$C,MATCH(D324,Customers!$A:$A,0))</f>
        <v>R08</v>
      </c>
      <c r="I324" s="7" t="n">
        <f aca="false">INDEX(Regions!$C:$C,MATCH(H324,Regions!$A:$A,0))</f>
        <v>0.12</v>
      </c>
      <c r="J324" s="7" t="n">
        <f aca="false">INDEX(Regions!$D:$D,MATCH(H324,Regions!$A:$A,0))</f>
        <v>0.04</v>
      </c>
      <c r="K324" s="4" t="n">
        <f aca="false">INDEX(Regions!$E:$E,MATCH(H324,Regions!$A:$A,0))</f>
        <v>12</v>
      </c>
      <c r="L324" s="5" t="n">
        <f aca="false">E324*F324</f>
        <v>1948.14</v>
      </c>
      <c r="M324" s="5" t="n">
        <f aca="false">IF(E324&gt;=K324,L324*J324,0)</f>
        <v>0</v>
      </c>
      <c r="N324" s="5" t="n">
        <f aca="false">(L324-M324)*I324</f>
        <v>233.7768</v>
      </c>
      <c r="O324" s="5" t="n">
        <f aca="false">L324-M324+N324</f>
        <v>2181.9168</v>
      </c>
    </row>
    <row r="325" customFormat="false" ht="15" hidden="false" customHeight="false" outlineLevel="0" collapsed="false">
      <c r="A325" s="4" t="s">
        <v>664</v>
      </c>
      <c r="B325" s="9" t="n">
        <v>45984</v>
      </c>
      <c r="C325" s="4" t="s">
        <v>35</v>
      </c>
      <c r="D325" s="4" t="s">
        <v>153</v>
      </c>
      <c r="E325" s="4" t="n">
        <v>22</v>
      </c>
      <c r="F325" s="5" t="n">
        <f aca="false">INDEX(Products!$E:$E,MATCH(C325,Products!$A:$A,0))</f>
        <v>180.72</v>
      </c>
      <c r="G325" s="4" t="str">
        <f aca="false">INDEX(Products!$C:$C,MATCH(C325,Products!$A:$A,0))</f>
        <v>Apparel</v>
      </c>
      <c r="H325" s="4" t="str">
        <f aca="false">INDEX(Customers!$C:$C,MATCH(D325,Customers!$A:$A,0))</f>
        <v>R08</v>
      </c>
      <c r="I325" s="7" t="n">
        <f aca="false">INDEX(Regions!$C:$C,MATCH(H325,Regions!$A:$A,0))</f>
        <v>0.12</v>
      </c>
      <c r="J325" s="7" t="n">
        <f aca="false">INDEX(Regions!$D:$D,MATCH(H325,Regions!$A:$A,0))</f>
        <v>0.04</v>
      </c>
      <c r="K325" s="4" t="n">
        <f aca="false">INDEX(Regions!$E:$E,MATCH(H325,Regions!$A:$A,0))</f>
        <v>12</v>
      </c>
      <c r="L325" s="5" t="n">
        <f aca="false">E325*F325</f>
        <v>3975.84</v>
      </c>
      <c r="M325" s="5" t="n">
        <f aca="false">IF(E325&gt;=K325,L325*J325,0)</f>
        <v>159.0336</v>
      </c>
      <c r="N325" s="5" t="n">
        <f aca="false">(L325-M325)*I325</f>
        <v>458.016768</v>
      </c>
      <c r="O325" s="5" t="n">
        <f aca="false">L325-M325+N325</f>
        <v>4274.823168</v>
      </c>
    </row>
    <row r="326" customFormat="false" ht="15" hidden="false" customHeight="false" outlineLevel="0" collapsed="false">
      <c r="A326" s="4" t="s">
        <v>665</v>
      </c>
      <c r="B326" s="9" t="n">
        <v>46005</v>
      </c>
      <c r="C326" s="4" t="s">
        <v>79</v>
      </c>
      <c r="D326" s="4" t="s">
        <v>222</v>
      </c>
      <c r="E326" s="4" t="n">
        <v>17</v>
      </c>
      <c r="F326" s="5" t="n">
        <f aca="false">INDEX(Products!$E:$E,MATCH(C326,Products!$A:$A,0))</f>
        <v>53.77</v>
      </c>
      <c r="G326" s="4" t="str">
        <f aca="false">INDEX(Products!$C:$C,MATCH(C326,Products!$A:$A,0))</f>
        <v>Office Supplies</v>
      </c>
      <c r="H326" s="4" t="str">
        <f aca="false">INDEX(Customers!$C:$C,MATCH(D326,Customers!$A:$A,0))</f>
        <v>R07</v>
      </c>
      <c r="I326" s="7" t="n">
        <f aca="false">INDEX(Regions!$C:$C,MATCH(H326,Regions!$A:$A,0))</f>
        <v>0.15</v>
      </c>
      <c r="J326" s="7" t="n">
        <f aca="false">INDEX(Regions!$D:$D,MATCH(H326,Regions!$A:$A,0))</f>
        <v>0.05</v>
      </c>
      <c r="K326" s="4" t="n">
        <f aca="false">INDEX(Regions!$E:$E,MATCH(H326,Regions!$A:$A,0))</f>
        <v>10</v>
      </c>
      <c r="L326" s="5" t="n">
        <f aca="false">E326*F326</f>
        <v>914.09</v>
      </c>
      <c r="M326" s="5" t="n">
        <f aca="false">IF(E326&gt;=K326,L326*J326,0)</f>
        <v>45.7045</v>
      </c>
      <c r="N326" s="5" t="n">
        <f aca="false">(L326-M326)*I326</f>
        <v>130.257825</v>
      </c>
      <c r="O326" s="5" t="n">
        <f aca="false">L326-M326+N326</f>
        <v>998.643325</v>
      </c>
    </row>
    <row r="327" customFormat="false" ht="15" hidden="false" customHeight="false" outlineLevel="0" collapsed="false">
      <c r="A327" s="4" t="s">
        <v>666</v>
      </c>
      <c r="B327" s="9" t="n">
        <v>45969</v>
      </c>
      <c r="C327" s="4" t="s">
        <v>50</v>
      </c>
      <c r="D327" s="4" t="s">
        <v>140</v>
      </c>
      <c r="E327" s="4" t="n">
        <v>5</v>
      </c>
      <c r="F327" s="5" t="n">
        <f aca="false">INDEX(Products!$E:$E,MATCH(C327,Products!$A:$A,0))</f>
        <v>508.17</v>
      </c>
      <c r="G327" s="4" t="str">
        <f aca="false">INDEX(Products!$C:$C,MATCH(C327,Products!$A:$A,0))</f>
        <v>Office Supplies</v>
      </c>
      <c r="H327" s="4" t="str">
        <f aca="false">INDEX(Customers!$C:$C,MATCH(D327,Customers!$A:$A,0))</f>
        <v>R04</v>
      </c>
      <c r="I327" s="7" t="n">
        <f aca="false">INDEX(Regions!$C:$C,MATCH(H327,Regions!$A:$A,0))</f>
        <v>0.08</v>
      </c>
      <c r="J327" s="7" t="n">
        <f aca="false">INDEX(Regions!$D:$D,MATCH(H327,Regions!$A:$A,0))</f>
        <v>0.05</v>
      </c>
      <c r="K327" s="4" t="n">
        <f aca="false">INDEX(Regions!$E:$E,MATCH(H327,Regions!$A:$A,0))</f>
        <v>10</v>
      </c>
      <c r="L327" s="5" t="n">
        <f aca="false">E327*F327</f>
        <v>2540.85</v>
      </c>
      <c r="M327" s="5" t="n">
        <f aca="false">IF(E327&gt;=K327,L327*J327,0)</f>
        <v>0</v>
      </c>
      <c r="N327" s="5" t="n">
        <f aca="false">(L327-M327)*I327</f>
        <v>203.268</v>
      </c>
      <c r="O327" s="5" t="n">
        <f aca="false">L327-M327+N327</f>
        <v>2744.118</v>
      </c>
    </row>
    <row r="328" customFormat="false" ht="15" hidden="false" customHeight="false" outlineLevel="0" collapsed="false">
      <c r="A328" s="4" t="s">
        <v>667</v>
      </c>
      <c r="B328" s="9" t="n">
        <v>45692</v>
      </c>
      <c r="C328" s="4" t="s">
        <v>84</v>
      </c>
      <c r="D328" s="4" t="s">
        <v>142</v>
      </c>
      <c r="E328" s="4" t="n">
        <v>5</v>
      </c>
      <c r="F328" s="5" t="n">
        <f aca="false">INDEX(Products!$E:$E,MATCH(C328,Products!$A:$A,0))</f>
        <v>338.07</v>
      </c>
      <c r="G328" s="4" t="str">
        <f aca="false">INDEX(Products!$C:$C,MATCH(C328,Products!$A:$A,0))</f>
        <v>Office Supplies</v>
      </c>
      <c r="H328" s="4" t="str">
        <f aca="false">INDEX(Customers!$C:$C,MATCH(D328,Customers!$A:$A,0))</f>
        <v>R07</v>
      </c>
      <c r="I328" s="7" t="n">
        <f aca="false">INDEX(Regions!$C:$C,MATCH(H328,Regions!$A:$A,0))</f>
        <v>0.15</v>
      </c>
      <c r="J328" s="7" t="n">
        <f aca="false">INDEX(Regions!$D:$D,MATCH(H328,Regions!$A:$A,0))</f>
        <v>0.05</v>
      </c>
      <c r="K328" s="4" t="n">
        <f aca="false">INDEX(Regions!$E:$E,MATCH(H328,Regions!$A:$A,0))</f>
        <v>10</v>
      </c>
      <c r="L328" s="5" t="n">
        <f aca="false">E328*F328</f>
        <v>1690.35</v>
      </c>
      <c r="M328" s="5" t="n">
        <f aca="false">IF(E328&gt;=K328,L328*J328,0)</f>
        <v>0</v>
      </c>
      <c r="N328" s="5" t="n">
        <f aca="false">(L328-M328)*I328</f>
        <v>253.5525</v>
      </c>
      <c r="O328" s="5" t="n">
        <f aca="false">L328-M328+N328</f>
        <v>1943.9025</v>
      </c>
    </row>
    <row r="329" customFormat="false" ht="15" hidden="false" customHeight="false" outlineLevel="0" collapsed="false">
      <c r="A329" s="4" t="s">
        <v>668</v>
      </c>
      <c r="B329" s="9" t="n">
        <v>45845</v>
      </c>
      <c r="C329" s="4" t="s">
        <v>60</v>
      </c>
      <c r="D329" s="4" t="s">
        <v>303</v>
      </c>
      <c r="E329" s="4" t="n">
        <v>21</v>
      </c>
      <c r="F329" s="5" t="n">
        <f aca="false">INDEX(Products!$E:$E,MATCH(C329,Products!$A:$A,0))</f>
        <v>420.29</v>
      </c>
      <c r="G329" s="4" t="str">
        <f aca="false">INDEX(Products!$C:$C,MATCH(C329,Products!$A:$A,0))</f>
        <v>Office Supplies</v>
      </c>
      <c r="H329" s="4" t="str">
        <f aca="false">INDEX(Customers!$C:$C,MATCH(D329,Customers!$A:$A,0))</f>
        <v>R08</v>
      </c>
      <c r="I329" s="7" t="n">
        <f aca="false">INDEX(Regions!$C:$C,MATCH(H329,Regions!$A:$A,0))</f>
        <v>0.12</v>
      </c>
      <c r="J329" s="7" t="n">
        <f aca="false">INDEX(Regions!$D:$D,MATCH(H329,Regions!$A:$A,0))</f>
        <v>0.04</v>
      </c>
      <c r="K329" s="4" t="n">
        <f aca="false">INDEX(Regions!$E:$E,MATCH(H329,Regions!$A:$A,0))</f>
        <v>12</v>
      </c>
      <c r="L329" s="5" t="n">
        <f aca="false">E329*F329</f>
        <v>8826.09</v>
      </c>
      <c r="M329" s="5" t="n">
        <f aca="false">IF(E329&gt;=K329,L329*J329,0)</f>
        <v>353.0436</v>
      </c>
      <c r="N329" s="5" t="n">
        <f aca="false">(L329-M329)*I329</f>
        <v>1016.765568</v>
      </c>
      <c r="O329" s="5" t="n">
        <f aca="false">L329-M329+N329</f>
        <v>9489.811968</v>
      </c>
    </row>
    <row r="330" customFormat="false" ht="15" hidden="false" customHeight="false" outlineLevel="0" collapsed="false">
      <c r="A330" s="4" t="s">
        <v>669</v>
      </c>
      <c r="B330" s="9" t="n">
        <v>45674</v>
      </c>
      <c r="C330" s="4" t="s">
        <v>75</v>
      </c>
      <c r="D330" s="4" t="s">
        <v>228</v>
      </c>
      <c r="E330" s="4" t="n">
        <v>19</v>
      </c>
      <c r="F330" s="5" t="n">
        <f aca="false">INDEX(Products!$E:$E,MATCH(C330,Products!$A:$A,0))</f>
        <v>502.27</v>
      </c>
      <c r="G330" s="4" t="str">
        <f aca="false">INDEX(Products!$C:$C,MATCH(C330,Products!$A:$A,0))</f>
        <v>Office Supplies</v>
      </c>
      <c r="H330" s="4" t="str">
        <f aca="false">INDEX(Customers!$C:$C,MATCH(D330,Customers!$A:$A,0))</f>
        <v>R06</v>
      </c>
      <c r="I330" s="7" t="n">
        <f aca="false">INDEX(Regions!$C:$C,MATCH(H330,Regions!$A:$A,0))</f>
        <v>0.06</v>
      </c>
      <c r="J330" s="7" t="n">
        <f aca="false">INDEX(Regions!$D:$D,MATCH(H330,Regions!$A:$A,0))</f>
        <v>0.04</v>
      </c>
      <c r="K330" s="4" t="n">
        <f aca="false">INDEX(Regions!$E:$E,MATCH(H330,Regions!$A:$A,0))</f>
        <v>12</v>
      </c>
      <c r="L330" s="5" t="n">
        <f aca="false">E330*F330</f>
        <v>9543.13</v>
      </c>
      <c r="M330" s="5" t="n">
        <f aca="false">IF(E330&gt;=K330,L330*J330,0)</f>
        <v>381.7252</v>
      </c>
      <c r="N330" s="5" t="n">
        <f aca="false">(L330-M330)*I330</f>
        <v>549.684288</v>
      </c>
      <c r="O330" s="5" t="n">
        <f aca="false">L330-M330+N330</f>
        <v>9711.089088</v>
      </c>
    </row>
    <row r="331" customFormat="false" ht="15" hidden="false" customHeight="false" outlineLevel="0" collapsed="false">
      <c r="A331" s="4" t="s">
        <v>670</v>
      </c>
      <c r="B331" s="9" t="n">
        <v>45888</v>
      </c>
      <c r="C331" s="4" t="s">
        <v>103</v>
      </c>
      <c r="D331" s="4" t="s">
        <v>173</v>
      </c>
      <c r="E331" s="4" t="n">
        <v>22</v>
      </c>
      <c r="F331" s="5" t="n">
        <f aca="false">INDEX(Products!$E:$E,MATCH(C331,Products!$A:$A,0))</f>
        <v>125.31</v>
      </c>
      <c r="G331" s="4" t="str">
        <f aca="false">INDEX(Products!$C:$C,MATCH(C331,Products!$A:$A,0))</f>
        <v>Home &amp; Kitchen</v>
      </c>
      <c r="H331" s="4" t="str">
        <f aca="false">INDEX(Customers!$C:$C,MATCH(D331,Customers!$A:$A,0))</f>
        <v>R08</v>
      </c>
      <c r="I331" s="7" t="n">
        <f aca="false">INDEX(Regions!$C:$C,MATCH(H331,Regions!$A:$A,0))</f>
        <v>0.12</v>
      </c>
      <c r="J331" s="7" t="n">
        <f aca="false">INDEX(Regions!$D:$D,MATCH(H331,Regions!$A:$A,0))</f>
        <v>0.04</v>
      </c>
      <c r="K331" s="4" t="n">
        <f aca="false">INDEX(Regions!$E:$E,MATCH(H331,Regions!$A:$A,0))</f>
        <v>12</v>
      </c>
      <c r="L331" s="5" t="n">
        <f aca="false">E331*F331</f>
        <v>2756.82</v>
      </c>
      <c r="M331" s="5" t="n">
        <f aca="false">IF(E331&gt;=K331,L331*J331,0)</f>
        <v>110.2728</v>
      </c>
      <c r="N331" s="5" t="n">
        <f aca="false">(L331-M331)*I331</f>
        <v>317.585664</v>
      </c>
      <c r="O331" s="5" t="n">
        <f aca="false">L331-M331+N331</f>
        <v>2964.132864</v>
      </c>
    </row>
    <row r="332" customFormat="false" ht="15" hidden="false" customHeight="false" outlineLevel="0" collapsed="false">
      <c r="A332" s="4" t="s">
        <v>671</v>
      </c>
      <c r="B332" s="9" t="n">
        <v>45697</v>
      </c>
      <c r="C332" s="4" t="s">
        <v>75</v>
      </c>
      <c r="D332" s="4" t="s">
        <v>224</v>
      </c>
      <c r="E332" s="4" t="n">
        <v>15</v>
      </c>
      <c r="F332" s="5" t="n">
        <f aca="false">INDEX(Products!$E:$E,MATCH(C332,Products!$A:$A,0))</f>
        <v>502.27</v>
      </c>
      <c r="G332" s="4" t="str">
        <f aca="false">INDEX(Products!$C:$C,MATCH(C332,Products!$A:$A,0))</f>
        <v>Office Supplies</v>
      </c>
      <c r="H332" s="4" t="str">
        <f aca="false">INDEX(Customers!$C:$C,MATCH(D332,Customers!$A:$A,0))</f>
        <v>R01</v>
      </c>
      <c r="I332" s="7" t="n">
        <f aca="false">INDEX(Regions!$C:$C,MATCH(H332,Regions!$A:$A,0))</f>
        <v>0.0825</v>
      </c>
      <c r="J332" s="7" t="n">
        <f aca="false">INDEX(Regions!$D:$D,MATCH(H332,Regions!$A:$A,0))</f>
        <v>0.05</v>
      </c>
      <c r="K332" s="4" t="n">
        <f aca="false">INDEX(Regions!$E:$E,MATCH(H332,Regions!$A:$A,0))</f>
        <v>10</v>
      </c>
      <c r="L332" s="5" t="n">
        <f aca="false">E332*F332</f>
        <v>7534.05</v>
      </c>
      <c r="M332" s="5" t="n">
        <f aca="false">IF(E332&gt;=K332,L332*J332,0)</f>
        <v>376.7025</v>
      </c>
      <c r="N332" s="5" t="n">
        <f aca="false">(L332-M332)*I332</f>
        <v>590.48116875</v>
      </c>
      <c r="O332" s="5" t="n">
        <f aca="false">L332-M332+N332</f>
        <v>7747.82866875</v>
      </c>
    </row>
    <row r="333" customFormat="false" ht="15" hidden="false" customHeight="false" outlineLevel="0" collapsed="false">
      <c r="A333" s="4" t="s">
        <v>672</v>
      </c>
      <c r="B333" s="9" t="n">
        <v>45845</v>
      </c>
      <c r="C333" s="4" t="s">
        <v>99</v>
      </c>
      <c r="D333" s="4" t="s">
        <v>169</v>
      </c>
      <c r="E333" s="4" t="n">
        <v>17</v>
      </c>
      <c r="F333" s="5" t="n">
        <f aca="false">INDEX(Products!$E:$E,MATCH(C333,Products!$A:$A,0))</f>
        <v>13</v>
      </c>
      <c r="G333" s="4" t="str">
        <f aca="false">INDEX(Products!$C:$C,MATCH(C333,Products!$A:$A,0))</f>
        <v>Home &amp; Kitchen</v>
      </c>
      <c r="H333" s="4" t="str">
        <f aca="false">INDEX(Customers!$C:$C,MATCH(D333,Customers!$A:$A,0))</f>
        <v>R05</v>
      </c>
      <c r="I333" s="7" t="n">
        <f aca="false">INDEX(Regions!$C:$C,MATCH(H333,Regions!$A:$A,0))</f>
        <v>0.0925</v>
      </c>
      <c r="J333" s="7" t="n">
        <f aca="false">INDEX(Regions!$D:$D,MATCH(H333,Regions!$A:$A,0))</f>
        <v>0.06</v>
      </c>
      <c r="K333" s="4" t="n">
        <f aca="false">INDEX(Regions!$E:$E,MATCH(H333,Regions!$A:$A,0))</f>
        <v>8</v>
      </c>
      <c r="L333" s="5" t="n">
        <f aca="false">E333*F333</f>
        <v>221</v>
      </c>
      <c r="M333" s="5" t="n">
        <f aca="false">IF(E333&gt;=K333,L333*J333,0)</f>
        <v>13.26</v>
      </c>
      <c r="N333" s="5" t="n">
        <f aca="false">(L333-M333)*I333</f>
        <v>19.21595</v>
      </c>
      <c r="O333" s="5" t="n">
        <f aca="false">L333-M333+N333</f>
        <v>226.95595</v>
      </c>
    </row>
    <row r="334" customFormat="false" ht="15" hidden="false" customHeight="false" outlineLevel="0" collapsed="false">
      <c r="A334" s="4" t="s">
        <v>673</v>
      </c>
      <c r="B334" s="9" t="n">
        <v>45800</v>
      </c>
      <c r="C334" s="4" t="s">
        <v>79</v>
      </c>
      <c r="D334" s="4" t="s">
        <v>212</v>
      </c>
      <c r="E334" s="4" t="n">
        <v>21</v>
      </c>
      <c r="F334" s="5" t="n">
        <f aca="false">INDEX(Products!$E:$E,MATCH(C334,Products!$A:$A,0))</f>
        <v>53.77</v>
      </c>
      <c r="G334" s="4" t="str">
        <f aca="false">INDEX(Products!$C:$C,MATCH(C334,Products!$A:$A,0))</f>
        <v>Office Supplies</v>
      </c>
      <c r="H334" s="4" t="str">
        <f aca="false">INDEX(Customers!$C:$C,MATCH(D334,Customers!$A:$A,0))</f>
        <v>R05</v>
      </c>
      <c r="I334" s="7" t="n">
        <f aca="false">INDEX(Regions!$C:$C,MATCH(H334,Regions!$A:$A,0))</f>
        <v>0.0925</v>
      </c>
      <c r="J334" s="7" t="n">
        <f aca="false">INDEX(Regions!$D:$D,MATCH(H334,Regions!$A:$A,0))</f>
        <v>0.06</v>
      </c>
      <c r="K334" s="4" t="n">
        <f aca="false">INDEX(Regions!$E:$E,MATCH(H334,Regions!$A:$A,0))</f>
        <v>8</v>
      </c>
      <c r="L334" s="5" t="n">
        <f aca="false">E334*F334</f>
        <v>1129.17</v>
      </c>
      <c r="M334" s="5" t="n">
        <f aca="false">IF(E334&gt;=K334,L334*J334,0)</f>
        <v>67.7502</v>
      </c>
      <c r="N334" s="5" t="n">
        <f aca="false">(L334-M334)*I334</f>
        <v>98.1813315</v>
      </c>
      <c r="O334" s="5" t="n">
        <f aca="false">L334-M334+N334</f>
        <v>1159.6011315</v>
      </c>
    </row>
    <row r="335" customFormat="false" ht="15" hidden="false" customHeight="false" outlineLevel="0" collapsed="false">
      <c r="A335" s="4" t="s">
        <v>674</v>
      </c>
      <c r="B335" s="9" t="n">
        <v>45753</v>
      </c>
      <c r="C335" s="4" t="s">
        <v>60</v>
      </c>
      <c r="D335" s="4" t="s">
        <v>163</v>
      </c>
      <c r="E335" s="4" t="n">
        <v>1</v>
      </c>
      <c r="F335" s="5" t="n">
        <f aca="false">INDEX(Products!$E:$E,MATCH(C335,Products!$A:$A,0))</f>
        <v>420.29</v>
      </c>
      <c r="G335" s="4" t="str">
        <f aca="false">INDEX(Products!$C:$C,MATCH(C335,Products!$A:$A,0))</f>
        <v>Office Supplies</v>
      </c>
      <c r="H335" s="4" t="str">
        <f aca="false">INDEX(Customers!$C:$C,MATCH(D335,Customers!$A:$A,0))</f>
        <v>R02</v>
      </c>
      <c r="I335" s="7" t="n">
        <f aca="false">INDEX(Regions!$C:$C,MATCH(H335,Regions!$A:$A,0))</f>
        <v>0.07</v>
      </c>
      <c r="J335" s="7" t="n">
        <f aca="false">INDEX(Regions!$D:$D,MATCH(H335,Regions!$A:$A,0))</f>
        <v>0.04</v>
      </c>
      <c r="K335" s="4" t="n">
        <f aca="false">INDEX(Regions!$E:$E,MATCH(H335,Regions!$A:$A,0))</f>
        <v>12</v>
      </c>
      <c r="L335" s="5" t="n">
        <f aca="false">E335*F335</f>
        <v>420.29</v>
      </c>
      <c r="M335" s="5" t="n">
        <f aca="false">IF(E335&gt;=K335,L335*J335,0)</f>
        <v>0</v>
      </c>
      <c r="N335" s="5" t="n">
        <f aca="false">(L335-M335)*I335</f>
        <v>29.4203</v>
      </c>
      <c r="O335" s="5" t="n">
        <f aca="false">L335-M335+N335</f>
        <v>449.7103</v>
      </c>
    </row>
    <row r="336" customFormat="false" ht="15" hidden="false" customHeight="false" outlineLevel="0" collapsed="false">
      <c r="A336" s="4" t="s">
        <v>675</v>
      </c>
      <c r="B336" s="9" t="n">
        <v>45945</v>
      </c>
      <c r="C336" s="4" t="s">
        <v>90</v>
      </c>
      <c r="D336" s="4" t="s">
        <v>255</v>
      </c>
      <c r="E336" s="4" t="n">
        <v>13</v>
      </c>
      <c r="F336" s="5" t="n">
        <f aca="false">INDEX(Products!$E:$E,MATCH(C336,Products!$A:$A,0))</f>
        <v>446.56</v>
      </c>
      <c r="G336" s="4" t="str">
        <f aca="false">INDEX(Products!$C:$C,MATCH(C336,Products!$A:$A,0))</f>
        <v>Outdoor</v>
      </c>
      <c r="H336" s="4" t="str">
        <f aca="false">INDEX(Customers!$C:$C,MATCH(D336,Customers!$A:$A,0))</f>
        <v>R08</v>
      </c>
      <c r="I336" s="7" t="n">
        <f aca="false">INDEX(Regions!$C:$C,MATCH(H336,Regions!$A:$A,0))</f>
        <v>0.12</v>
      </c>
      <c r="J336" s="7" t="n">
        <f aca="false">INDEX(Regions!$D:$D,MATCH(H336,Regions!$A:$A,0))</f>
        <v>0.04</v>
      </c>
      <c r="K336" s="4" t="n">
        <f aca="false">INDEX(Regions!$E:$E,MATCH(H336,Regions!$A:$A,0))</f>
        <v>12</v>
      </c>
      <c r="L336" s="5" t="n">
        <f aca="false">E336*F336</f>
        <v>5805.28</v>
      </c>
      <c r="M336" s="5" t="n">
        <f aca="false">IF(E336&gt;=K336,L336*J336,0)</f>
        <v>232.2112</v>
      </c>
      <c r="N336" s="5" t="n">
        <f aca="false">(L336-M336)*I336</f>
        <v>668.768256</v>
      </c>
      <c r="O336" s="5" t="n">
        <f aca="false">L336-M336+N336</f>
        <v>6241.837056</v>
      </c>
    </row>
    <row r="337" customFormat="false" ht="15" hidden="false" customHeight="false" outlineLevel="0" collapsed="false">
      <c r="A337" s="4" t="s">
        <v>676</v>
      </c>
      <c r="B337" s="9" t="n">
        <v>45791</v>
      </c>
      <c r="C337" s="4" t="s">
        <v>44</v>
      </c>
      <c r="D337" s="4" t="s">
        <v>199</v>
      </c>
      <c r="E337" s="4" t="n">
        <v>25</v>
      </c>
      <c r="F337" s="5" t="n">
        <f aca="false">INDEX(Products!$E:$E,MATCH(C337,Products!$A:$A,0))</f>
        <v>393.99</v>
      </c>
      <c r="G337" s="4" t="str">
        <f aca="false">INDEX(Products!$C:$C,MATCH(C337,Products!$A:$A,0))</f>
        <v>Office Supplies</v>
      </c>
      <c r="H337" s="4" t="str">
        <f aca="false">INDEX(Customers!$C:$C,MATCH(D337,Customers!$A:$A,0))</f>
        <v>R03</v>
      </c>
      <c r="I337" s="7" t="n">
        <f aca="false">INDEX(Regions!$C:$C,MATCH(H337,Regions!$A:$A,0))</f>
        <v>0.0625</v>
      </c>
      <c r="J337" s="7" t="n">
        <f aca="false">INDEX(Regions!$D:$D,MATCH(H337,Regions!$A:$A,0))</f>
        <v>0.03</v>
      </c>
      <c r="K337" s="4" t="n">
        <f aca="false">INDEX(Regions!$E:$E,MATCH(H337,Regions!$A:$A,0))</f>
        <v>15</v>
      </c>
      <c r="L337" s="5" t="n">
        <f aca="false">E337*F337</f>
        <v>9849.75</v>
      </c>
      <c r="M337" s="5" t="n">
        <f aca="false">IF(E337&gt;=K337,L337*J337,0)</f>
        <v>295.4925</v>
      </c>
      <c r="N337" s="5" t="n">
        <f aca="false">(L337-M337)*I337</f>
        <v>597.14109375</v>
      </c>
      <c r="O337" s="5" t="n">
        <f aca="false">L337-M337+N337</f>
        <v>10151.39859375</v>
      </c>
    </row>
    <row r="338" customFormat="false" ht="15" hidden="false" customHeight="false" outlineLevel="0" collapsed="false">
      <c r="A338" s="4" t="s">
        <v>677</v>
      </c>
      <c r="B338" s="9" t="n">
        <v>45804</v>
      </c>
      <c r="C338" s="4" t="s">
        <v>84</v>
      </c>
      <c r="D338" s="4" t="s">
        <v>187</v>
      </c>
      <c r="E338" s="4" t="n">
        <v>20</v>
      </c>
      <c r="F338" s="5" t="n">
        <f aca="false">INDEX(Products!$E:$E,MATCH(C338,Products!$A:$A,0))</f>
        <v>338.07</v>
      </c>
      <c r="G338" s="4" t="str">
        <f aca="false">INDEX(Products!$C:$C,MATCH(C338,Products!$A:$A,0))</f>
        <v>Office Supplies</v>
      </c>
      <c r="H338" s="4" t="str">
        <f aca="false">INDEX(Customers!$C:$C,MATCH(D338,Customers!$A:$A,0))</f>
        <v>R04</v>
      </c>
      <c r="I338" s="7" t="n">
        <f aca="false">INDEX(Regions!$C:$C,MATCH(H338,Regions!$A:$A,0))</f>
        <v>0.08</v>
      </c>
      <c r="J338" s="7" t="n">
        <f aca="false">INDEX(Regions!$D:$D,MATCH(H338,Regions!$A:$A,0))</f>
        <v>0.05</v>
      </c>
      <c r="K338" s="4" t="n">
        <f aca="false">INDEX(Regions!$E:$E,MATCH(H338,Regions!$A:$A,0))</f>
        <v>10</v>
      </c>
      <c r="L338" s="5" t="n">
        <f aca="false">E338*F338</f>
        <v>6761.4</v>
      </c>
      <c r="M338" s="5" t="n">
        <f aca="false">IF(E338&gt;=K338,L338*J338,0)</f>
        <v>338.07</v>
      </c>
      <c r="N338" s="5" t="n">
        <f aca="false">(L338-M338)*I338</f>
        <v>513.8664</v>
      </c>
      <c r="O338" s="5" t="n">
        <f aca="false">L338-M338+N338</f>
        <v>6937.1964</v>
      </c>
    </row>
    <row r="339" customFormat="false" ht="15" hidden="false" customHeight="false" outlineLevel="0" collapsed="false">
      <c r="A339" s="4" t="s">
        <v>678</v>
      </c>
      <c r="B339" s="9" t="n">
        <v>45727</v>
      </c>
      <c r="C339" s="4" t="s">
        <v>90</v>
      </c>
      <c r="D339" s="4" t="s">
        <v>183</v>
      </c>
      <c r="E339" s="4" t="n">
        <v>4</v>
      </c>
      <c r="F339" s="5" t="n">
        <f aca="false">INDEX(Products!$E:$E,MATCH(C339,Products!$A:$A,0))</f>
        <v>446.56</v>
      </c>
      <c r="G339" s="4" t="str">
        <f aca="false">INDEX(Products!$C:$C,MATCH(C339,Products!$A:$A,0))</f>
        <v>Outdoor</v>
      </c>
      <c r="H339" s="4" t="str">
        <f aca="false">INDEX(Customers!$C:$C,MATCH(D339,Customers!$A:$A,0))</f>
        <v>R03</v>
      </c>
      <c r="I339" s="7" t="n">
        <f aca="false">INDEX(Regions!$C:$C,MATCH(H339,Regions!$A:$A,0))</f>
        <v>0.0625</v>
      </c>
      <c r="J339" s="7" t="n">
        <f aca="false">INDEX(Regions!$D:$D,MATCH(H339,Regions!$A:$A,0))</f>
        <v>0.03</v>
      </c>
      <c r="K339" s="4" t="n">
        <f aca="false">INDEX(Regions!$E:$E,MATCH(H339,Regions!$A:$A,0))</f>
        <v>15</v>
      </c>
      <c r="L339" s="5" t="n">
        <f aca="false">E339*F339</f>
        <v>1786.24</v>
      </c>
      <c r="M339" s="5" t="n">
        <f aca="false">IF(E339&gt;=K339,L339*J339,0)</f>
        <v>0</v>
      </c>
      <c r="N339" s="5" t="n">
        <f aca="false">(L339-M339)*I339</f>
        <v>111.64</v>
      </c>
      <c r="O339" s="5" t="n">
        <f aca="false">L339-M339+N339</f>
        <v>1897.88</v>
      </c>
    </row>
    <row r="340" customFormat="false" ht="15" hidden="false" customHeight="false" outlineLevel="0" collapsed="false">
      <c r="A340" s="4" t="s">
        <v>679</v>
      </c>
      <c r="B340" s="9" t="n">
        <v>45885</v>
      </c>
      <c r="C340" s="4" t="s">
        <v>37</v>
      </c>
      <c r="D340" s="4" t="s">
        <v>241</v>
      </c>
      <c r="E340" s="4" t="n">
        <v>6</v>
      </c>
      <c r="F340" s="5" t="n">
        <f aca="false">INDEX(Products!$E:$E,MATCH(C340,Products!$A:$A,0))</f>
        <v>267.59</v>
      </c>
      <c r="G340" s="4" t="str">
        <f aca="false">INDEX(Products!$C:$C,MATCH(C340,Products!$A:$A,0))</f>
        <v>Electronics</v>
      </c>
      <c r="H340" s="4" t="str">
        <f aca="false">INDEX(Customers!$C:$C,MATCH(D340,Customers!$A:$A,0))</f>
        <v>R04</v>
      </c>
      <c r="I340" s="7" t="n">
        <f aca="false">INDEX(Regions!$C:$C,MATCH(H340,Regions!$A:$A,0))</f>
        <v>0.08</v>
      </c>
      <c r="J340" s="7" t="n">
        <f aca="false">INDEX(Regions!$D:$D,MATCH(H340,Regions!$A:$A,0))</f>
        <v>0.05</v>
      </c>
      <c r="K340" s="4" t="n">
        <f aca="false">INDEX(Regions!$E:$E,MATCH(H340,Regions!$A:$A,0))</f>
        <v>10</v>
      </c>
      <c r="L340" s="5" t="n">
        <f aca="false">E340*F340</f>
        <v>1605.54</v>
      </c>
      <c r="M340" s="5" t="n">
        <f aca="false">IF(E340&gt;=K340,L340*J340,0)</f>
        <v>0</v>
      </c>
      <c r="N340" s="5" t="n">
        <f aca="false">(L340-M340)*I340</f>
        <v>128.4432</v>
      </c>
      <c r="O340" s="5" t="n">
        <f aca="false">L340-M340+N340</f>
        <v>1733.9832</v>
      </c>
    </row>
    <row r="341" customFormat="false" ht="15" hidden="false" customHeight="false" outlineLevel="0" collapsed="false">
      <c r="A341" s="4" t="s">
        <v>680</v>
      </c>
      <c r="B341" s="9" t="n">
        <v>45821</v>
      </c>
      <c r="C341" s="4" t="s">
        <v>40</v>
      </c>
      <c r="D341" s="4" t="s">
        <v>309</v>
      </c>
      <c r="E341" s="4" t="n">
        <v>22</v>
      </c>
      <c r="F341" s="5" t="n">
        <f aca="false">INDEX(Products!$E:$E,MATCH(C341,Products!$A:$A,0))</f>
        <v>93.05</v>
      </c>
      <c r="G341" s="4" t="str">
        <f aca="false">INDEX(Products!$C:$C,MATCH(C341,Products!$A:$A,0))</f>
        <v>Office Supplies</v>
      </c>
      <c r="H341" s="4" t="str">
        <f aca="false">INDEX(Customers!$C:$C,MATCH(D341,Customers!$A:$A,0))</f>
        <v>R08</v>
      </c>
      <c r="I341" s="7" t="n">
        <f aca="false">INDEX(Regions!$C:$C,MATCH(H341,Regions!$A:$A,0))</f>
        <v>0.12</v>
      </c>
      <c r="J341" s="7" t="n">
        <f aca="false">INDEX(Regions!$D:$D,MATCH(H341,Regions!$A:$A,0))</f>
        <v>0.04</v>
      </c>
      <c r="K341" s="4" t="n">
        <f aca="false">INDEX(Regions!$E:$E,MATCH(H341,Regions!$A:$A,0))</f>
        <v>12</v>
      </c>
      <c r="L341" s="5" t="n">
        <f aca="false">E341*F341</f>
        <v>2047.1</v>
      </c>
      <c r="M341" s="5" t="n">
        <f aca="false">IF(E341&gt;=K341,L341*J341,0)</f>
        <v>81.884</v>
      </c>
      <c r="N341" s="5" t="n">
        <f aca="false">(L341-M341)*I341</f>
        <v>235.82592</v>
      </c>
      <c r="O341" s="5" t="n">
        <f aca="false">L341-M341+N341</f>
        <v>2201.04192</v>
      </c>
    </row>
    <row r="342" customFormat="false" ht="15" hidden="false" customHeight="false" outlineLevel="0" collapsed="false">
      <c r="A342" s="4" t="s">
        <v>681</v>
      </c>
      <c r="B342" s="9" t="n">
        <v>45939</v>
      </c>
      <c r="C342" s="4" t="s">
        <v>73</v>
      </c>
      <c r="D342" s="4" t="s">
        <v>291</v>
      </c>
      <c r="E342" s="4" t="n">
        <v>3</v>
      </c>
      <c r="F342" s="5" t="n">
        <f aca="false">INDEX(Products!$E:$E,MATCH(C342,Products!$A:$A,0))</f>
        <v>180.28</v>
      </c>
      <c r="G342" s="4" t="str">
        <f aca="false">INDEX(Products!$C:$C,MATCH(C342,Products!$A:$A,0))</f>
        <v>Electronics</v>
      </c>
      <c r="H342" s="4" t="str">
        <f aca="false">INDEX(Customers!$C:$C,MATCH(D342,Customers!$A:$A,0))</f>
        <v>R02</v>
      </c>
      <c r="I342" s="7" t="n">
        <f aca="false">INDEX(Regions!$C:$C,MATCH(H342,Regions!$A:$A,0))</f>
        <v>0.07</v>
      </c>
      <c r="J342" s="7" t="n">
        <f aca="false">INDEX(Regions!$D:$D,MATCH(H342,Regions!$A:$A,0))</f>
        <v>0.04</v>
      </c>
      <c r="K342" s="4" t="n">
        <f aca="false">INDEX(Regions!$E:$E,MATCH(H342,Regions!$A:$A,0))</f>
        <v>12</v>
      </c>
      <c r="L342" s="5" t="n">
        <f aca="false">E342*F342</f>
        <v>540.84</v>
      </c>
      <c r="M342" s="5" t="n">
        <f aca="false">IF(E342&gt;=K342,L342*J342,0)</f>
        <v>0</v>
      </c>
      <c r="N342" s="5" t="n">
        <f aca="false">(L342-M342)*I342</f>
        <v>37.8588</v>
      </c>
      <c r="O342" s="5" t="n">
        <f aca="false">L342-M342+N342</f>
        <v>578.6988</v>
      </c>
    </row>
    <row r="343" customFormat="false" ht="15" hidden="false" customHeight="false" outlineLevel="0" collapsed="false">
      <c r="A343" s="4" t="s">
        <v>682</v>
      </c>
      <c r="B343" s="9" t="n">
        <v>45811</v>
      </c>
      <c r="C343" s="4" t="s">
        <v>96</v>
      </c>
      <c r="D343" s="4" t="s">
        <v>206</v>
      </c>
      <c r="E343" s="4" t="n">
        <v>29</v>
      </c>
      <c r="F343" s="5" t="n">
        <f aca="false">INDEX(Products!$E:$E,MATCH(C343,Products!$A:$A,0))</f>
        <v>195.64</v>
      </c>
      <c r="G343" s="4" t="str">
        <f aca="false">INDEX(Products!$C:$C,MATCH(C343,Products!$A:$A,0))</f>
        <v>Office Supplies</v>
      </c>
      <c r="H343" s="4" t="str">
        <f aca="false">INDEX(Customers!$C:$C,MATCH(D343,Customers!$A:$A,0))</f>
        <v>R07</v>
      </c>
      <c r="I343" s="7" t="n">
        <f aca="false">INDEX(Regions!$C:$C,MATCH(H343,Regions!$A:$A,0))</f>
        <v>0.15</v>
      </c>
      <c r="J343" s="7" t="n">
        <f aca="false">INDEX(Regions!$D:$D,MATCH(H343,Regions!$A:$A,0))</f>
        <v>0.05</v>
      </c>
      <c r="K343" s="4" t="n">
        <f aca="false">INDEX(Regions!$E:$E,MATCH(H343,Regions!$A:$A,0))</f>
        <v>10</v>
      </c>
      <c r="L343" s="5" t="n">
        <f aca="false">E343*F343</f>
        <v>5673.56</v>
      </c>
      <c r="M343" s="5" t="n">
        <f aca="false">IF(E343&gt;=K343,L343*J343,0)</f>
        <v>283.678</v>
      </c>
      <c r="N343" s="5" t="n">
        <f aca="false">(L343-M343)*I343</f>
        <v>808.4823</v>
      </c>
      <c r="O343" s="5" t="n">
        <f aca="false">L343-M343+N343</f>
        <v>6198.3643</v>
      </c>
    </row>
    <row r="344" customFormat="false" ht="15" hidden="false" customHeight="false" outlineLevel="0" collapsed="false">
      <c r="A344" s="4" t="s">
        <v>683</v>
      </c>
      <c r="B344" s="9" t="n">
        <v>46016</v>
      </c>
      <c r="C344" s="4" t="s">
        <v>50</v>
      </c>
      <c r="D344" s="4" t="s">
        <v>293</v>
      </c>
      <c r="E344" s="4" t="n">
        <v>23</v>
      </c>
      <c r="F344" s="5" t="n">
        <f aca="false">INDEX(Products!$E:$E,MATCH(C344,Products!$A:$A,0))</f>
        <v>508.17</v>
      </c>
      <c r="G344" s="4" t="str">
        <f aca="false">INDEX(Products!$C:$C,MATCH(C344,Products!$A:$A,0))</f>
        <v>Office Supplies</v>
      </c>
      <c r="H344" s="4" t="str">
        <f aca="false">INDEX(Customers!$C:$C,MATCH(D344,Customers!$A:$A,0))</f>
        <v>R07</v>
      </c>
      <c r="I344" s="7" t="n">
        <f aca="false">INDEX(Regions!$C:$C,MATCH(H344,Regions!$A:$A,0))</f>
        <v>0.15</v>
      </c>
      <c r="J344" s="7" t="n">
        <f aca="false">INDEX(Regions!$D:$D,MATCH(H344,Regions!$A:$A,0))</f>
        <v>0.05</v>
      </c>
      <c r="K344" s="4" t="n">
        <f aca="false">INDEX(Regions!$E:$E,MATCH(H344,Regions!$A:$A,0))</f>
        <v>10</v>
      </c>
      <c r="L344" s="5" t="n">
        <f aca="false">E344*F344</f>
        <v>11687.91</v>
      </c>
      <c r="M344" s="5" t="n">
        <f aca="false">IF(E344&gt;=K344,L344*J344,0)</f>
        <v>584.3955</v>
      </c>
      <c r="N344" s="5" t="n">
        <f aca="false">(L344-M344)*I344</f>
        <v>1665.527175</v>
      </c>
      <c r="O344" s="5" t="n">
        <f aca="false">L344-M344+N344</f>
        <v>12769.041675</v>
      </c>
    </row>
    <row r="345" customFormat="false" ht="15" hidden="false" customHeight="false" outlineLevel="0" collapsed="false">
      <c r="A345" s="4" t="s">
        <v>684</v>
      </c>
      <c r="B345" s="9" t="n">
        <v>45918</v>
      </c>
      <c r="C345" s="4" t="s">
        <v>52</v>
      </c>
      <c r="D345" s="4" t="s">
        <v>306</v>
      </c>
      <c r="E345" s="4" t="n">
        <v>12</v>
      </c>
      <c r="F345" s="5" t="n">
        <f aca="false">INDEX(Products!$E:$E,MATCH(C345,Products!$A:$A,0))</f>
        <v>237.1</v>
      </c>
      <c r="G345" s="4" t="str">
        <f aca="false">INDEX(Products!$C:$C,MATCH(C345,Products!$A:$A,0))</f>
        <v>Office Supplies</v>
      </c>
      <c r="H345" s="4" t="str">
        <f aca="false">INDEX(Customers!$C:$C,MATCH(D345,Customers!$A:$A,0))</f>
        <v>R01</v>
      </c>
      <c r="I345" s="7" t="n">
        <f aca="false">INDEX(Regions!$C:$C,MATCH(H345,Regions!$A:$A,0))</f>
        <v>0.0825</v>
      </c>
      <c r="J345" s="7" t="n">
        <f aca="false">INDEX(Regions!$D:$D,MATCH(H345,Regions!$A:$A,0))</f>
        <v>0.05</v>
      </c>
      <c r="K345" s="4" t="n">
        <f aca="false">INDEX(Regions!$E:$E,MATCH(H345,Regions!$A:$A,0))</f>
        <v>10</v>
      </c>
      <c r="L345" s="5" t="n">
        <f aca="false">E345*F345</f>
        <v>2845.2</v>
      </c>
      <c r="M345" s="5" t="n">
        <f aca="false">IF(E345&gt;=K345,L345*J345,0)</f>
        <v>142.26</v>
      </c>
      <c r="N345" s="5" t="n">
        <f aca="false">(L345-M345)*I345</f>
        <v>222.99255</v>
      </c>
      <c r="O345" s="5" t="n">
        <f aca="false">L345-M345+N345</f>
        <v>2925.93255</v>
      </c>
    </row>
    <row r="346" customFormat="false" ht="15" hidden="false" customHeight="false" outlineLevel="0" collapsed="false">
      <c r="A346" s="4" t="s">
        <v>685</v>
      </c>
      <c r="B346" s="9" t="n">
        <v>45729</v>
      </c>
      <c r="C346" s="4" t="s">
        <v>58</v>
      </c>
      <c r="D346" s="4" t="s">
        <v>165</v>
      </c>
      <c r="E346" s="4" t="n">
        <v>7</v>
      </c>
      <c r="F346" s="5" t="n">
        <f aca="false">INDEX(Products!$E:$E,MATCH(C346,Products!$A:$A,0))</f>
        <v>459.72</v>
      </c>
      <c r="G346" s="4" t="str">
        <f aca="false">INDEX(Products!$C:$C,MATCH(C346,Products!$A:$A,0))</f>
        <v>Office Supplies</v>
      </c>
      <c r="H346" s="4" t="str">
        <f aca="false">INDEX(Customers!$C:$C,MATCH(D346,Customers!$A:$A,0))</f>
        <v>R04</v>
      </c>
      <c r="I346" s="7" t="n">
        <f aca="false">INDEX(Regions!$C:$C,MATCH(H346,Regions!$A:$A,0))</f>
        <v>0.08</v>
      </c>
      <c r="J346" s="7" t="n">
        <f aca="false">INDEX(Regions!$D:$D,MATCH(H346,Regions!$A:$A,0))</f>
        <v>0.05</v>
      </c>
      <c r="K346" s="4" t="n">
        <f aca="false">INDEX(Regions!$E:$E,MATCH(H346,Regions!$A:$A,0))</f>
        <v>10</v>
      </c>
      <c r="L346" s="5" t="n">
        <f aca="false">E346*F346</f>
        <v>3218.04</v>
      </c>
      <c r="M346" s="5" t="n">
        <f aca="false">IF(E346&gt;=K346,L346*J346,0)</f>
        <v>0</v>
      </c>
      <c r="N346" s="5" t="n">
        <f aca="false">(L346-M346)*I346</f>
        <v>257.4432</v>
      </c>
      <c r="O346" s="5" t="n">
        <f aca="false">L346-M346+N346</f>
        <v>3475.4832</v>
      </c>
    </row>
    <row r="347" customFormat="false" ht="15" hidden="false" customHeight="false" outlineLevel="0" collapsed="false">
      <c r="A347" s="4" t="s">
        <v>686</v>
      </c>
      <c r="B347" s="9" t="n">
        <v>45671</v>
      </c>
      <c r="C347" s="4" t="s">
        <v>60</v>
      </c>
      <c r="D347" s="4" t="s">
        <v>306</v>
      </c>
      <c r="E347" s="4" t="n">
        <v>16</v>
      </c>
      <c r="F347" s="5" t="n">
        <f aca="false">INDEX(Products!$E:$E,MATCH(C347,Products!$A:$A,0))</f>
        <v>420.29</v>
      </c>
      <c r="G347" s="4" t="str">
        <f aca="false">INDEX(Products!$C:$C,MATCH(C347,Products!$A:$A,0))</f>
        <v>Office Supplies</v>
      </c>
      <c r="H347" s="4" t="str">
        <f aca="false">INDEX(Customers!$C:$C,MATCH(D347,Customers!$A:$A,0))</f>
        <v>R01</v>
      </c>
      <c r="I347" s="7" t="n">
        <f aca="false">INDEX(Regions!$C:$C,MATCH(H347,Regions!$A:$A,0))</f>
        <v>0.0825</v>
      </c>
      <c r="J347" s="7" t="n">
        <f aca="false">INDEX(Regions!$D:$D,MATCH(H347,Regions!$A:$A,0))</f>
        <v>0.05</v>
      </c>
      <c r="K347" s="4" t="n">
        <f aca="false">INDEX(Regions!$E:$E,MATCH(H347,Regions!$A:$A,0))</f>
        <v>10</v>
      </c>
      <c r="L347" s="5" t="n">
        <f aca="false">E347*F347</f>
        <v>6724.64</v>
      </c>
      <c r="M347" s="5" t="n">
        <f aca="false">IF(E347&gt;=K347,L347*J347,0)</f>
        <v>336.232</v>
      </c>
      <c r="N347" s="5" t="n">
        <f aca="false">(L347-M347)*I347</f>
        <v>527.04366</v>
      </c>
      <c r="O347" s="5" t="n">
        <f aca="false">L347-M347+N347</f>
        <v>6915.45166</v>
      </c>
    </row>
    <row r="348" customFormat="false" ht="15" hidden="false" customHeight="false" outlineLevel="0" collapsed="false">
      <c r="A348" s="4" t="s">
        <v>687</v>
      </c>
      <c r="B348" s="9" t="n">
        <v>45846</v>
      </c>
      <c r="C348" s="4" t="s">
        <v>75</v>
      </c>
      <c r="D348" s="4" t="s">
        <v>262</v>
      </c>
      <c r="E348" s="4" t="n">
        <v>19</v>
      </c>
      <c r="F348" s="5" t="n">
        <f aca="false">INDEX(Products!$E:$E,MATCH(C348,Products!$A:$A,0))</f>
        <v>502.27</v>
      </c>
      <c r="G348" s="4" t="str">
        <f aca="false">INDEX(Products!$C:$C,MATCH(C348,Products!$A:$A,0))</f>
        <v>Office Supplies</v>
      </c>
      <c r="H348" s="4" t="str">
        <f aca="false">INDEX(Customers!$C:$C,MATCH(D348,Customers!$A:$A,0))</f>
        <v>R04</v>
      </c>
      <c r="I348" s="7" t="n">
        <f aca="false">INDEX(Regions!$C:$C,MATCH(H348,Regions!$A:$A,0))</f>
        <v>0.08</v>
      </c>
      <c r="J348" s="7" t="n">
        <f aca="false">INDEX(Regions!$D:$D,MATCH(H348,Regions!$A:$A,0))</f>
        <v>0.05</v>
      </c>
      <c r="K348" s="4" t="n">
        <f aca="false">INDEX(Regions!$E:$E,MATCH(H348,Regions!$A:$A,0))</f>
        <v>10</v>
      </c>
      <c r="L348" s="5" t="n">
        <f aca="false">E348*F348</f>
        <v>9543.13</v>
      </c>
      <c r="M348" s="5" t="n">
        <f aca="false">IF(E348&gt;=K348,L348*J348,0)</f>
        <v>477.1565</v>
      </c>
      <c r="N348" s="5" t="n">
        <f aca="false">(L348-M348)*I348</f>
        <v>725.27788</v>
      </c>
      <c r="O348" s="5" t="n">
        <f aca="false">L348-M348+N348</f>
        <v>9791.25138</v>
      </c>
    </row>
    <row r="349" customFormat="false" ht="15" hidden="false" customHeight="false" outlineLevel="0" collapsed="false">
      <c r="A349" s="4" t="s">
        <v>688</v>
      </c>
      <c r="B349" s="9" t="n">
        <v>45724</v>
      </c>
      <c r="C349" s="4" t="s">
        <v>86</v>
      </c>
      <c r="D349" s="4" t="s">
        <v>307</v>
      </c>
      <c r="E349" s="4" t="n">
        <v>18</v>
      </c>
      <c r="F349" s="5" t="n">
        <f aca="false">INDEX(Products!$E:$E,MATCH(C349,Products!$A:$A,0))</f>
        <v>169.14</v>
      </c>
      <c r="G349" s="4" t="str">
        <f aca="false">INDEX(Products!$C:$C,MATCH(C349,Products!$A:$A,0))</f>
        <v>Office Supplies</v>
      </c>
      <c r="H349" s="4" t="str">
        <f aca="false">INDEX(Customers!$C:$C,MATCH(D349,Customers!$A:$A,0))</f>
        <v>R07</v>
      </c>
      <c r="I349" s="7" t="n">
        <f aca="false">INDEX(Regions!$C:$C,MATCH(H349,Regions!$A:$A,0))</f>
        <v>0.15</v>
      </c>
      <c r="J349" s="7" t="n">
        <f aca="false">INDEX(Regions!$D:$D,MATCH(H349,Regions!$A:$A,0))</f>
        <v>0.05</v>
      </c>
      <c r="K349" s="4" t="n">
        <f aca="false">INDEX(Regions!$E:$E,MATCH(H349,Regions!$A:$A,0))</f>
        <v>10</v>
      </c>
      <c r="L349" s="5" t="n">
        <f aca="false">E349*F349</f>
        <v>3044.52</v>
      </c>
      <c r="M349" s="5" t="n">
        <f aca="false">IF(E349&gt;=K349,L349*J349,0)</f>
        <v>152.226</v>
      </c>
      <c r="N349" s="5" t="n">
        <f aca="false">(L349-M349)*I349</f>
        <v>433.8441</v>
      </c>
      <c r="O349" s="5" t="n">
        <f aca="false">L349-M349+N349</f>
        <v>3326.1381</v>
      </c>
    </row>
    <row r="350" customFormat="false" ht="15" hidden="false" customHeight="false" outlineLevel="0" collapsed="false">
      <c r="A350" s="4" t="s">
        <v>689</v>
      </c>
      <c r="B350" s="9" t="n">
        <v>45691</v>
      </c>
      <c r="C350" s="4" t="s">
        <v>105</v>
      </c>
      <c r="D350" s="4" t="s">
        <v>323</v>
      </c>
      <c r="E350" s="4" t="n">
        <v>3</v>
      </c>
      <c r="F350" s="5" t="n">
        <f aca="false">INDEX(Products!$E:$E,MATCH(C350,Products!$A:$A,0))</f>
        <v>216.46</v>
      </c>
      <c r="G350" s="4" t="str">
        <f aca="false">INDEX(Products!$C:$C,MATCH(C350,Products!$A:$A,0))</f>
        <v>Apparel</v>
      </c>
      <c r="H350" s="4" t="str">
        <f aca="false">INDEX(Customers!$C:$C,MATCH(D350,Customers!$A:$A,0))</f>
        <v>R05</v>
      </c>
      <c r="I350" s="7" t="n">
        <f aca="false">INDEX(Regions!$C:$C,MATCH(H350,Regions!$A:$A,0))</f>
        <v>0.0925</v>
      </c>
      <c r="J350" s="7" t="n">
        <f aca="false">INDEX(Regions!$D:$D,MATCH(H350,Regions!$A:$A,0))</f>
        <v>0.06</v>
      </c>
      <c r="K350" s="4" t="n">
        <f aca="false">INDEX(Regions!$E:$E,MATCH(H350,Regions!$A:$A,0))</f>
        <v>8</v>
      </c>
      <c r="L350" s="5" t="n">
        <f aca="false">E350*F350</f>
        <v>649.38</v>
      </c>
      <c r="M350" s="5" t="n">
        <f aca="false">IF(E350&gt;=K350,L350*J350,0)</f>
        <v>0</v>
      </c>
      <c r="N350" s="5" t="n">
        <f aca="false">(L350-M350)*I350</f>
        <v>60.06765</v>
      </c>
      <c r="O350" s="5" t="n">
        <f aca="false">L350-M350+N350</f>
        <v>709.44765</v>
      </c>
    </row>
    <row r="351" customFormat="false" ht="15" hidden="false" customHeight="false" outlineLevel="0" collapsed="false">
      <c r="A351" s="4" t="s">
        <v>690</v>
      </c>
      <c r="B351" s="9" t="n">
        <v>45903</v>
      </c>
      <c r="C351" s="4" t="s">
        <v>67</v>
      </c>
      <c r="D351" s="4" t="s">
        <v>230</v>
      </c>
      <c r="E351" s="4" t="n">
        <v>23</v>
      </c>
      <c r="F351" s="5" t="n">
        <f aca="false">INDEX(Products!$E:$E,MATCH(C351,Products!$A:$A,0))</f>
        <v>198.43</v>
      </c>
      <c r="G351" s="4" t="str">
        <f aca="false">INDEX(Products!$C:$C,MATCH(C351,Products!$A:$A,0))</f>
        <v>Apparel</v>
      </c>
      <c r="H351" s="4" t="str">
        <f aca="false">INDEX(Customers!$C:$C,MATCH(D351,Customers!$A:$A,0))</f>
        <v>R05</v>
      </c>
      <c r="I351" s="7" t="n">
        <f aca="false">INDEX(Regions!$C:$C,MATCH(H351,Regions!$A:$A,0))</f>
        <v>0.0925</v>
      </c>
      <c r="J351" s="7" t="n">
        <f aca="false">INDEX(Regions!$D:$D,MATCH(H351,Regions!$A:$A,0))</f>
        <v>0.06</v>
      </c>
      <c r="K351" s="4" t="n">
        <f aca="false">INDEX(Regions!$E:$E,MATCH(H351,Regions!$A:$A,0))</f>
        <v>8</v>
      </c>
      <c r="L351" s="5" t="n">
        <f aca="false">E351*F351</f>
        <v>4563.89</v>
      </c>
      <c r="M351" s="5" t="n">
        <f aca="false">IF(E351&gt;=K351,L351*J351,0)</f>
        <v>273.8334</v>
      </c>
      <c r="N351" s="5" t="n">
        <f aca="false">(L351-M351)*I351</f>
        <v>396.8302355</v>
      </c>
      <c r="O351" s="5" t="n">
        <f aca="false">L351-M351+N351</f>
        <v>4686.8868355</v>
      </c>
    </row>
    <row r="352" customFormat="false" ht="15" hidden="false" customHeight="false" outlineLevel="0" collapsed="false">
      <c r="A352" s="4" t="s">
        <v>691</v>
      </c>
      <c r="B352" s="9" t="n">
        <v>45867</v>
      </c>
      <c r="C352" s="4" t="s">
        <v>94</v>
      </c>
      <c r="D352" s="4" t="s">
        <v>233</v>
      </c>
      <c r="E352" s="4" t="n">
        <v>25</v>
      </c>
      <c r="F352" s="5" t="n">
        <f aca="false">INDEX(Products!$E:$E,MATCH(C352,Products!$A:$A,0))</f>
        <v>362.1</v>
      </c>
      <c r="G352" s="4" t="str">
        <f aca="false">INDEX(Products!$C:$C,MATCH(C352,Products!$A:$A,0))</f>
        <v>Apparel</v>
      </c>
      <c r="H352" s="4" t="str">
        <f aca="false">INDEX(Customers!$C:$C,MATCH(D352,Customers!$A:$A,0))</f>
        <v>R05</v>
      </c>
      <c r="I352" s="7" t="n">
        <f aca="false">INDEX(Regions!$C:$C,MATCH(H352,Regions!$A:$A,0))</f>
        <v>0.0925</v>
      </c>
      <c r="J352" s="7" t="n">
        <f aca="false">INDEX(Regions!$D:$D,MATCH(H352,Regions!$A:$A,0))</f>
        <v>0.06</v>
      </c>
      <c r="K352" s="4" t="n">
        <f aca="false">INDEX(Regions!$E:$E,MATCH(H352,Regions!$A:$A,0))</f>
        <v>8</v>
      </c>
      <c r="L352" s="5" t="n">
        <f aca="false">E352*F352</f>
        <v>9052.5</v>
      </c>
      <c r="M352" s="5" t="n">
        <f aca="false">IF(E352&gt;=K352,L352*J352,0)</f>
        <v>543.15</v>
      </c>
      <c r="N352" s="5" t="n">
        <f aca="false">(L352-M352)*I352</f>
        <v>787.114875</v>
      </c>
      <c r="O352" s="5" t="n">
        <f aca="false">L352-M352+N352</f>
        <v>9296.464875</v>
      </c>
    </row>
    <row r="353" customFormat="false" ht="15" hidden="false" customHeight="false" outlineLevel="0" collapsed="false">
      <c r="A353" s="4" t="s">
        <v>692</v>
      </c>
      <c r="B353" s="9" t="n">
        <v>45820</v>
      </c>
      <c r="C353" s="4" t="s">
        <v>99</v>
      </c>
      <c r="D353" s="4" t="s">
        <v>153</v>
      </c>
      <c r="E353" s="4" t="n">
        <v>5</v>
      </c>
      <c r="F353" s="5" t="n">
        <f aca="false">INDEX(Products!$E:$E,MATCH(C353,Products!$A:$A,0))</f>
        <v>13</v>
      </c>
      <c r="G353" s="4" t="str">
        <f aca="false">INDEX(Products!$C:$C,MATCH(C353,Products!$A:$A,0))</f>
        <v>Home &amp; Kitchen</v>
      </c>
      <c r="H353" s="4" t="str">
        <f aca="false">INDEX(Customers!$C:$C,MATCH(D353,Customers!$A:$A,0))</f>
        <v>R08</v>
      </c>
      <c r="I353" s="7" t="n">
        <f aca="false">INDEX(Regions!$C:$C,MATCH(H353,Regions!$A:$A,0))</f>
        <v>0.12</v>
      </c>
      <c r="J353" s="7" t="n">
        <f aca="false">INDEX(Regions!$D:$D,MATCH(H353,Regions!$A:$A,0))</f>
        <v>0.04</v>
      </c>
      <c r="K353" s="4" t="n">
        <f aca="false">INDEX(Regions!$E:$E,MATCH(H353,Regions!$A:$A,0))</f>
        <v>12</v>
      </c>
      <c r="L353" s="5" t="n">
        <f aca="false">E353*F353</f>
        <v>65</v>
      </c>
      <c r="M353" s="5" t="n">
        <f aca="false">IF(E353&gt;=K353,L353*J353,0)</f>
        <v>0</v>
      </c>
      <c r="N353" s="5" t="n">
        <f aca="false">(L353-M353)*I353</f>
        <v>7.8</v>
      </c>
      <c r="O353" s="5" t="n">
        <f aca="false">L353-M353+N353</f>
        <v>72.8</v>
      </c>
    </row>
    <row r="354" customFormat="false" ht="15" hidden="false" customHeight="false" outlineLevel="0" collapsed="false">
      <c r="A354" s="4" t="s">
        <v>693</v>
      </c>
      <c r="B354" s="9" t="n">
        <v>46006</v>
      </c>
      <c r="C354" s="4" t="s">
        <v>37</v>
      </c>
      <c r="D354" s="4" t="s">
        <v>241</v>
      </c>
      <c r="E354" s="4" t="n">
        <v>15</v>
      </c>
      <c r="F354" s="5" t="n">
        <f aca="false">INDEX(Products!$E:$E,MATCH(C354,Products!$A:$A,0))</f>
        <v>267.59</v>
      </c>
      <c r="G354" s="4" t="str">
        <f aca="false">INDEX(Products!$C:$C,MATCH(C354,Products!$A:$A,0))</f>
        <v>Electronics</v>
      </c>
      <c r="H354" s="4" t="str">
        <f aca="false">INDEX(Customers!$C:$C,MATCH(D354,Customers!$A:$A,0))</f>
        <v>R04</v>
      </c>
      <c r="I354" s="7" t="n">
        <f aca="false">INDEX(Regions!$C:$C,MATCH(H354,Regions!$A:$A,0))</f>
        <v>0.08</v>
      </c>
      <c r="J354" s="7" t="n">
        <f aca="false">INDEX(Regions!$D:$D,MATCH(H354,Regions!$A:$A,0))</f>
        <v>0.05</v>
      </c>
      <c r="K354" s="4" t="n">
        <f aca="false">INDEX(Regions!$E:$E,MATCH(H354,Regions!$A:$A,0))</f>
        <v>10</v>
      </c>
      <c r="L354" s="5" t="n">
        <f aca="false">E354*F354</f>
        <v>4013.85</v>
      </c>
      <c r="M354" s="5" t="n">
        <f aca="false">IF(E354&gt;=K354,L354*J354,0)</f>
        <v>200.6925</v>
      </c>
      <c r="N354" s="5" t="n">
        <f aca="false">(L354-M354)*I354</f>
        <v>305.0526</v>
      </c>
      <c r="O354" s="5" t="n">
        <f aca="false">L354-M354+N354</f>
        <v>4118.2101</v>
      </c>
    </row>
    <row r="355" customFormat="false" ht="15" hidden="false" customHeight="false" outlineLevel="0" collapsed="false">
      <c r="A355" s="4" t="s">
        <v>694</v>
      </c>
      <c r="B355" s="9" t="n">
        <v>45940</v>
      </c>
      <c r="C355" s="4" t="s">
        <v>94</v>
      </c>
      <c r="D355" s="4" t="s">
        <v>219</v>
      </c>
      <c r="E355" s="4" t="n">
        <v>5</v>
      </c>
      <c r="F355" s="5" t="n">
        <f aca="false">INDEX(Products!$E:$E,MATCH(C355,Products!$A:$A,0))</f>
        <v>362.1</v>
      </c>
      <c r="G355" s="4" t="str">
        <f aca="false">INDEX(Products!$C:$C,MATCH(C355,Products!$A:$A,0))</f>
        <v>Apparel</v>
      </c>
      <c r="H355" s="4" t="str">
        <f aca="false">INDEX(Customers!$C:$C,MATCH(D355,Customers!$A:$A,0))</f>
        <v>R05</v>
      </c>
      <c r="I355" s="7" t="n">
        <f aca="false">INDEX(Regions!$C:$C,MATCH(H355,Regions!$A:$A,0))</f>
        <v>0.0925</v>
      </c>
      <c r="J355" s="7" t="n">
        <f aca="false">INDEX(Regions!$D:$D,MATCH(H355,Regions!$A:$A,0))</f>
        <v>0.06</v>
      </c>
      <c r="K355" s="4" t="n">
        <f aca="false">INDEX(Regions!$E:$E,MATCH(H355,Regions!$A:$A,0))</f>
        <v>8</v>
      </c>
      <c r="L355" s="5" t="n">
        <f aca="false">E355*F355</f>
        <v>1810.5</v>
      </c>
      <c r="M355" s="5" t="n">
        <f aca="false">IF(E355&gt;=K355,L355*J355,0)</f>
        <v>0</v>
      </c>
      <c r="N355" s="5" t="n">
        <f aca="false">(L355-M355)*I355</f>
        <v>167.47125</v>
      </c>
      <c r="O355" s="5" t="n">
        <f aca="false">L355-M355+N355</f>
        <v>1977.97125</v>
      </c>
    </row>
    <row r="356" customFormat="false" ht="15" hidden="false" customHeight="false" outlineLevel="0" collapsed="false">
      <c r="A356" s="4" t="s">
        <v>695</v>
      </c>
      <c r="B356" s="9" t="n">
        <v>45724</v>
      </c>
      <c r="C356" s="4" t="s">
        <v>101</v>
      </c>
      <c r="D356" s="4" t="s">
        <v>180</v>
      </c>
      <c r="E356" s="4" t="n">
        <v>25</v>
      </c>
      <c r="F356" s="5" t="n">
        <f aca="false">INDEX(Products!$E:$E,MATCH(C356,Products!$A:$A,0))</f>
        <v>468.78</v>
      </c>
      <c r="G356" s="4" t="str">
        <f aca="false">INDEX(Products!$C:$C,MATCH(C356,Products!$A:$A,0))</f>
        <v>Electronics</v>
      </c>
      <c r="H356" s="4" t="str">
        <f aca="false">INDEX(Customers!$C:$C,MATCH(D356,Customers!$A:$A,0))</f>
        <v>R05</v>
      </c>
      <c r="I356" s="7" t="n">
        <f aca="false">INDEX(Regions!$C:$C,MATCH(H356,Regions!$A:$A,0))</f>
        <v>0.0925</v>
      </c>
      <c r="J356" s="7" t="n">
        <f aca="false">INDEX(Regions!$D:$D,MATCH(H356,Regions!$A:$A,0))</f>
        <v>0.06</v>
      </c>
      <c r="K356" s="4" t="n">
        <f aca="false">INDEX(Regions!$E:$E,MATCH(H356,Regions!$A:$A,0))</f>
        <v>8</v>
      </c>
      <c r="L356" s="5" t="n">
        <f aca="false">E356*F356</f>
        <v>11719.5</v>
      </c>
      <c r="M356" s="5" t="n">
        <f aca="false">IF(E356&gt;=K356,L356*J356,0)</f>
        <v>703.17</v>
      </c>
      <c r="N356" s="5" t="n">
        <f aca="false">(L356-M356)*I356</f>
        <v>1019.010525</v>
      </c>
      <c r="O356" s="5" t="n">
        <f aca="false">L356-M356+N356</f>
        <v>12035.340525</v>
      </c>
    </row>
    <row r="357" customFormat="false" ht="15" hidden="false" customHeight="false" outlineLevel="0" collapsed="false">
      <c r="A357" s="4" t="s">
        <v>696</v>
      </c>
      <c r="B357" s="9" t="n">
        <v>45686</v>
      </c>
      <c r="C357" s="4" t="s">
        <v>82</v>
      </c>
      <c r="D357" s="4" t="s">
        <v>252</v>
      </c>
      <c r="E357" s="4" t="n">
        <v>30</v>
      </c>
      <c r="F357" s="5" t="n">
        <f aca="false">INDEX(Products!$E:$E,MATCH(C357,Products!$A:$A,0))</f>
        <v>365.87</v>
      </c>
      <c r="G357" s="4" t="str">
        <f aca="false">INDEX(Products!$C:$C,MATCH(C357,Products!$A:$A,0))</f>
        <v>Office Supplies</v>
      </c>
      <c r="H357" s="4" t="str">
        <f aca="false">INDEX(Customers!$C:$C,MATCH(D357,Customers!$A:$A,0))</f>
        <v>R06</v>
      </c>
      <c r="I357" s="7" t="n">
        <f aca="false">INDEX(Regions!$C:$C,MATCH(H357,Regions!$A:$A,0))</f>
        <v>0.06</v>
      </c>
      <c r="J357" s="7" t="n">
        <f aca="false">INDEX(Regions!$D:$D,MATCH(H357,Regions!$A:$A,0))</f>
        <v>0.04</v>
      </c>
      <c r="K357" s="4" t="n">
        <f aca="false">INDEX(Regions!$E:$E,MATCH(H357,Regions!$A:$A,0))</f>
        <v>12</v>
      </c>
      <c r="L357" s="5" t="n">
        <f aca="false">E357*F357</f>
        <v>10976.1</v>
      </c>
      <c r="M357" s="5" t="n">
        <f aca="false">IF(E357&gt;=K357,L357*J357,0)</f>
        <v>439.044</v>
      </c>
      <c r="N357" s="5" t="n">
        <f aca="false">(L357-M357)*I357</f>
        <v>632.22336</v>
      </c>
      <c r="O357" s="5" t="n">
        <f aca="false">L357-M357+N357</f>
        <v>11169.27936</v>
      </c>
    </row>
    <row r="358" customFormat="false" ht="15" hidden="false" customHeight="false" outlineLevel="0" collapsed="false">
      <c r="A358" s="4" t="s">
        <v>697</v>
      </c>
      <c r="B358" s="9" t="n">
        <v>45813</v>
      </c>
      <c r="C358" s="4" t="s">
        <v>44</v>
      </c>
      <c r="D358" s="4" t="s">
        <v>255</v>
      </c>
      <c r="E358" s="4" t="n">
        <v>5</v>
      </c>
      <c r="F358" s="5" t="n">
        <f aca="false">INDEX(Products!$E:$E,MATCH(C358,Products!$A:$A,0))</f>
        <v>393.99</v>
      </c>
      <c r="G358" s="4" t="str">
        <f aca="false">INDEX(Products!$C:$C,MATCH(C358,Products!$A:$A,0))</f>
        <v>Office Supplies</v>
      </c>
      <c r="H358" s="4" t="str">
        <f aca="false">INDEX(Customers!$C:$C,MATCH(D358,Customers!$A:$A,0))</f>
        <v>R08</v>
      </c>
      <c r="I358" s="7" t="n">
        <f aca="false">INDEX(Regions!$C:$C,MATCH(H358,Regions!$A:$A,0))</f>
        <v>0.12</v>
      </c>
      <c r="J358" s="7" t="n">
        <f aca="false">INDEX(Regions!$D:$D,MATCH(H358,Regions!$A:$A,0))</f>
        <v>0.04</v>
      </c>
      <c r="K358" s="4" t="n">
        <f aca="false">INDEX(Regions!$E:$E,MATCH(H358,Regions!$A:$A,0))</f>
        <v>12</v>
      </c>
      <c r="L358" s="5" t="n">
        <f aca="false">E358*F358</f>
        <v>1969.95</v>
      </c>
      <c r="M358" s="5" t="n">
        <f aca="false">IF(E358&gt;=K358,L358*J358,0)</f>
        <v>0</v>
      </c>
      <c r="N358" s="5" t="n">
        <f aca="false">(L358-M358)*I358</f>
        <v>236.394</v>
      </c>
      <c r="O358" s="5" t="n">
        <f aca="false">L358-M358+N358</f>
        <v>2206.344</v>
      </c>
    </row>
    <row r="359" customFormat="false" ht="15" hidden="false" customHeight="false" outlineLevel="0" collapsed="false">
      <c r="A359" s="4" t="s">
        <v>698</v>
      </c>
      <c r="B359" s="9" t="n">
        <v>46021</v>
      </c>
      <c r="C359" s="4" t="s">
        <v>50</v>
      </c>
      <c r="D359" s="4" t="s">
        <v>175</v>
      </c>
      <c r="E359" s="4" t="n">
        <v>11</v>
      </c>
      <c r="F359" s="5" t="n">
        <f aca="false">INDEX(Products!$E:$E,MATCH(C359,Products!$A:$A,0))</f>
        <v>508.17</v>
      </c>
      <c r="G359" s="4" t="str">
        <f aca="false">INDEX(Products!$C:$C,MATCH(C359,Products!$A:$A,0))</f>
        <v>Office Supplies</v>
      </c>
      <c r="H359" s="4" t="str">
        <f aca="false">INDEX(Customers!$C:$C,MATCH(D359,Customers!$A:$A,0))</f>
        <v>R08</v>
      </c>
      <c r="I359" s="7" t="n">
        <f aca="false">INDEX(Regions!$C:$C,MATCH(H359,Regions!$A:$A,0))</f>
        <v>0.12</v>
      </c>
      <c r="J359" s="7" t="n">
        <f aca="false">INDEX(Regions!$D:$D,MATCH(H359,Regions!$A:$A,0))</f>
        <v>0.04</v>
      </c>
      <c r="K359" s="4" t="n">
        <f aca="false">INDEX(Regions!$E:$E,MATCH(H359,Regions!$A:$A,0))</f>
        <v>12</v>
      </c>
      <c r="L359" s="5" t="n">
        <f aca="false">E359*F359</f>
        <v>5589.87</v>
      </c>
      <c r="M359" s="5" t="n">
        <f aca="false">IF(E359&gt;=K359,L359*J359,0)</f>
        <v>0</v>
      </c>
      <c r="N359" s="5" t="n">
        <f aca="false">(L359-M359)*I359</f>
        <v>670.7844</v>
      </c>
      <c r="O359" s="5" t="n">
        <f aca="false">L359-M359+N359</f>
        <v>6260.6544</v>
      </c>
    </row>
    <row r="360" customFormat="false" ht="15" hidden="false" customHeight="false" outlineLevel="0" collapsed="false">
      <c r="A360" s="4" t="s">
        <v>699</v>
      </c>
      <c r="B360" s="9" t="n">
        <v>45803</v>
      </c>
      <c r="C360" s="4" t="s">
        <v>58</v>
      </c>
      <c r="D360" s="4" t="s">
        <v>219</v>
      </c>
      <c r="E360" s="4" t="n">
        <v>17</v>
      </c>
      <c r="F360" s="5" t="n">
        <f aca="false">INDEX(Products!$E:$E,MATCH(C360,Products!$A:$A,0))</f>
        <v>459.72</v>
      </c>
      <c r="G360" s="4" t="str">
        <f aca="false">INDEX(Products!$C:$C,MATCH(C360,Products!$A:$A,0))</f>
        <v>Office Supplies</v>
      </c>
      <c r="H360" s="4" t="str">
        <f aca="false">INDEX(Customers!$C:$C,MATCH(D360,Customers!$A:$A,0))</f>
        <v>R05</v>
      </c>
      <c r="I360" s="7" t="n">
        <f aca="false">INDEX(Regions!$C:$C,MATCH(H360,Regions!$A:$A,0))</f>
        <v>0.0925</v>
      </c>
      <c r="J360" s="7" t="n">
        <f aca="false">INDEX(Regions!$D:$D,MATCH(H360,Regions!$A:$A,0))</f>
        <v>0.06</v>
      </c>
      <c r="K360" s="4" t="n">
        <f aca="false">INDEX(Regions!$E:$E,MATCH(H360,Regions!$A:$A,0))</f>
        <v>8</v>
      </c>
      <c r="L360" s="5" t="n">
        <f aca="false">E360*F360</f>
        <v>7815.24</v>
      </c>
      <c r="M360" s="5" t="n">
        <f aca="false">IF(E360&gt;=K360,L360*J360,0)</f>
        <v>468.9144</v>
      </c>
      <c r="N360" s="5" t="n">
        <f aca="false">(L360-M360)*I360</f>
        <v>679.535118</v>
      </c>
      <c r="O360" s="5" t="n">
        <f aca="false">L360-M360+N360</f>
        <v>8025.860718</v>
      </c>
    </row>
    <row r="361" customFormat="false" ht="15" hidden="false" customHeight="false" outlineLevel="0" collapsed="false">
      <c r="A361" s="4" t="s">
        <v>700</v>
      </c>
      <c r="B361" s="9" t="n">
        <v>45983</v>
      </c>
      <c r="C361" s="4" t="s">
        <v>40</v>
      </c>
      <c r="D361" s="4" t="s">
        <v>197</v>
      </c>
      <c r="E361" s="4" t="n">
        <v>7</v>
      </c>
      <c r="F361" s="5" t="n">
        <f aca="false">INDEX(Products!$E:$E,MATCH(C361,Products!$A:$A,0))</f>
        <v>93.05</v>
      </c>
      <c r="G361" s="4" t="str">
        <f aca="false">INDEX(Products!$C:$C,MATCH(C361,Products!$A:$A,0))</f>
        <v>Office Supplies</v>
      </c>
      <c r="H361" s="4" t="str">
        <f aca="false">INDEX(Customers!$C:$C,MATCH(D361,Customers!$A:$A,0))</f>
        <v>R01</v>
      </c>
      <c r="I361" s="7" t="n">
        <f aca="false">INDEX(Regions!$C:$C,MATCH(H361,Regions!$A:$A,0))</f>
        <v>0.0825</v>
      </c>
      <c r="J361" s="7" t="n">
        <f aca="false">INDEX(Regions!$D:$D,MATCH(H361,Regions!$A:$A,0))</f>
        <v>0.05</v>
      </c>
      <c r="K361" s="4" t="n">
        <f aca="false">INDEX(Regions!$E:$E,MATCH(H361,Regions!$A:$A,0))</f>
        <v>10</v>
      </c>
      <c r="L361" s="5" t="n">
        <f aca="false">E361*F361</f>
        <v>651.35</v>
      </c>
      <c r="M361" s="5" t="n">
        <f aca="false">IF(E361&gt;=K361,L361*J361,0)</f>
        <v>0</v>
      </c>
      <c r="N361" s="5" t="n">
        <f aca="false">(L361-M361)*I361</f>
        <v>53.736375</v>
      </c>
      <c r="O361" s="5" t="n">
        <f aca="false">L361-M361+N361</f>
        <v>705.086375</v>
      </c>
    </row>
    <row r="362" customFormat="false" ht="15" hidden="false" customHeight="false" outlineLevel="0" collapsed="false">
      <c r="A362" s="4" t="s">
        <v>701</v>
      </c>
      <c r="B362" s="9" t="n">
        <v>45978</v>
      </c>
      <c r="C362" s="4" t="s">
        <v>98</v>
      </c>
      <c r="D362" s="4" t="s">
        <v>203</v>
      </c>
      <c r="E362" s="4" t="n">
        <v>5</v>
      </c>
      <c r="F362" s="5" t="n">
        <f aca="false">INDEX(Products!$E:$E,MATCH(C362,Products!$A:$A,0))</f>
        <v>26.28</v>
      </c>
      <c r="G362" s="4" t="str">
        <f aca="false">INDEX(Products!$C:$C,MATCH(C362,Products!$A:$A,0))</f>
        <v>Home &amp; Kitchen</v>
      </c>
      <c r="H362" s="4" t="str">
        <f aca="false">INDEX(Customers!$C:$C,MATCH(D362,Customers!$A:$A,0))</f>
        <v>R07</v>
      </c>
      <c r="I362" s="7" t="n">
        <f aca="false">INDEX(Regions!$C:$C,MATCH(H362,Regions!$A:$A,0))</f>
        <v>0.15</v>
      </c>
      <c r="J362" s="7" t="n">
        <f aca="false">INDEX(Regions!$D:$D,MATCH(H362,Regions!$A:$A,0))</f>
        <v>0.05</v>
      </c>
      <c r="K362" s="4" t="n">
        <f aca="false">INDEX(Regions!$E:$E,MATCH(H362,Regions!$A:$A,0))</f>
        <v>10</v>
      </c>
      <c r="L362" s="5" t="n">
        <f aca="false">E362*F362</f>
        <v>131.4</v>
      </c>
      <c r="M362" s="5" t="n">
        <f aca="false">IF(E362&gt;=K362,L362*J362,0)</f>
        <v>0</v>
      </c>
      <c r="N362" s="5" t="n">
        <f aca="false">(L362-M362)*I362</f>
        <v>19.71</v>
      </c>
      <c r="O362" s="5" t="n">
        <f aca="false">L362-M362+N362</f>
        <v>151.11</v>
      </c>
    </row>
    <row r="363" customFormat="false" ht="15" hidden="false" customHeight="false" outlineLevel="0" collapsed="false">
      <c r="A363" s="4" t="s">
        <v>702</v>
      </c>
      <c r="B363" s="9" t="n">
        <v>45705</v>
      </c>
      <c r="C363" s="4" t="s">
        <v>67</v>
      </c>
      <c r="D363" s="4" t="s">
        <v>275</v>
      </c>
      <c r="E363" s="4" t="n">
        <v>18</v>
      </c>
      <c r="F363" s="5" t="n">
        <f aca="false">INDEX(Products!$E:$E,MATCH(C363,Products!$A:$A,0))</f>
        <v>198.43</v>
      </c>
      <c r="G363" s="4" t="str">
        <f aca="false">INDEX(Products!$C:$C,MATCH(C363,Products!$A:$A,0))</f>
        <v>Apparel</v>
      </c>
      <c r="H363" s="4" t="str">
        <f aca="false">INDEX(Customers!$C:$C,MATCH(D363,Customers!$A:$A,0))</f>
        <v>R02</v>
      </c>
      <c r="I363" s="7" t="n">
        <f aca="false">INDEX(Regions!$C:$C,MATCH(H363,Regions!$A:$A,0))</f>
        <v>0.07</v>
      </c>
      <c r="J363" s="7" t="n">
        <f aca="false">INDEX(Regions!$D:$D,MATCH(H363,Regions!$A:$A,0))</f>
        <v>0.04</v>
      </c>
      <c r="K363" s="4" t="n">
        <f aca="false">INDEX(Regions!$E:$E,MATCH(H363,Regions!$A:$A,0))</f>
        <v>12</v>
      </c>
      <c r="L363" s="5" t="n">
        <f aca="false">E363*F363</f>
        <v>3571.74</v>
      </c>
      <c r="M363" s="5" t="n">
        <f aca="false">IF(E363&gt;=K363,L363*J363,0)</f>
        <v>142.8696</v>
      </c>
      <c r="N363" s="5" t="n">
        <f aca="false">(L363-M363)*I363</f>
        <v>240.020928</v>
      </c>
      <c r="O363" s="5" t="n">
        <f aca="false">L363-M363+N363</f>
        <v>3668.891328</v>
      </c>
    </row>
    <row r="364" customFormat="false" ht="15" hidden="false" customHeight="false" outlineLevel="0" collapsed="false">
      <c r="A364" s="4" t="s">
        <v>703</v>
      </c>
      <c r="B364" s="9" t="n">
        <v>45961</v>
      </c>
      <c r="C364" s="4" t="s">
        <v>92</v>
      </c>
      <c r="D364" s="4" t="s">
        <v>280</v>
      </c>
      <c r="E364" s="4" t="n">
        <v>6</v>
      </c>
      <c r="F364" s="5" t="n">
        <f aca="false">INDEX(Products!$E:$E,MATCH(C364,Products!$A:$A,0))</f>
        <v>333.4</v>
      </c>
      <c r="G364" s="4" t="str">
        <f aca="false">INDEX(Products!$C:$C,MATCH(C364,Products!$A:$A,0))</f>
        <v>Outdoor</v>
      </c>
      <c r="H364" s="4" t="str">
        <f aca="false">INDEX(Customers!$C:$C,MATCH(D364,Customers!$A:$A,0))</f>
        <v>R01</v>
      </c>
      <c r="I364" s="7" t="n">
        <f aca="false">INDEX(Regions!$C:$C,MATCH(H364,Regions!$A:$A,0))</f>
        <v>0.0825</v>
      </c>
      <c r="J364" s="7" t="n">
        <f aca="false">INDEX(Regions!$D:$D,MATCH(H364,Regions!$A:$A,0))</f>
        <v>0.05</v>
      </c>
      <c r="K364" s="4" t="n">
        <f aca="false">INDEX(Regions!$E:$E,MATCH(H364,Regions!$A:$A,0))</f>
        <v>10</v>
      </c>
      <c r="L364" s="5" t="n">
        <f aca="false">E364*F364</f>
        <v>2000.4</v>
      </c>
      <c r="M364" s="5" t="n">
        <f aca="false">IF(E364&gt;=K364,L364*J364,0)</f>
        <v>0</v>
      </c>
      <c r="N364" s="5" t="n">
        <f aca="false">(L364-M364)*I364</f>
        <v>165.033</v>
      </c>
      <c r="O364" s="5" t="n">
        <f aca="false">L364-M364+N364</f>
        <v>2165.433</v>
      </c>
    </row>
    <row r="365" customFormat="false" ht="15" hidden="false" customHeight="false" outlineLevel="0" collapsed="false">
      <c r="A365" s="4" t="s">
        <v>704</v>
      </c>
      <c r="B365" s="9" t="n">
        <v>45995</v>
      </c>
      <c r="C365" s="4" t="s">
        <v>101</v>
      </c>
      <c r="D365" s="4" t="s">
        <v>173</v>
      </c>
      <c r="E365" s="4" t="n">
        <v>6</v>
      </c>
      <c r="F365" s="5" t="n">
        <f aca="false">INDEX(Products!$E:$E,MATCH(C365,Products!$A:$A,0))</f>
        <v>468.78</v>
      </c>
      <c r="G365" s="4" t="str">
        <f aca="false">INDEX(Products!$C:$C,MATCH(C365,Products!$A:$A,0))</f>
        <v>Electronics</v>
      </c>
      <c r="H365" s="4" t="str">
        <f aca="false">INDEX(Customers!$C:$C,MATCH(D365,Customers!$A:$A,0))</f>
        <v>R08</v>
      </c>
      <c r="I365" s="7" t="n">
        <f aca="false">INDEX(Regions!$C:$C,MATCH(H365,Regions!$A:$A,0))</f>
        <v>0.12</v>
      </c>
      <c r="J365" s="7" t="n">
        <f aca="false">INDEX(Regions!$D:$D,MATCH(H365,Regions!$A:$A,0))</f>
        <v>0.04</v>
      </c>
      <c r="K365" s="4" t="n">
        <f aca="false">INDEX(Regions!$E:$E,MATCH(H365,Regions!$A:$A,0))</f>
        <v>12</v>
      </c>
      <c r="L365" s="5" t="n">
        <f aca="false">E365*F365</f>
        <v>2812.68</v>
      </c>
      <c r="M365" s="5" t="n">
        <f aca="false">IF(E365&gt;=K365,L365*J365,0)</f>
        <v>0</v>
      </c>
      <c r="N365" s="5" t="n">
        <f aca="false">(L365-M365)*I365</f>
        <v>337.5216</v>
      </c>
      <c r="O365" s="5" t="n">
        <f aca="false">L365-M365+N365</f>
        <v>3150.2016</v>
      </c>
    </row>
    <row r="366" customFormat="false" ht="15" hidden="false" customHeight="false" outlineLevel="0" collapsed="false">
      <c r="A366" s="4" t="s">
        <v>705</v>
      </c>
      <c r="B366" s="9" t="n">
        <v>45967</v>
      </c>
      <c r="C366" s="4" t="s">
        <v>105</v>
      </c>
      <c r="D366" s="4" t="s">
        <v>294</v>
      </c>
      <c r="E366" s="4" t="n">
        <v>29</v>
      </c>
      <c r="F366" s="5" t="n">
        <f aca="false">INDEX(Products!$E:$E,MATCH(C366,Products!$A:$A,0))</f>
        <v>216.46</v>
      </c>
      <c r="G366" s="4" t="str">
        <f aca="false">INDEX(Products!$C:$C,MATCH(C366,Products!$A:$A,0))</f>
        <v>Apparel</v>
      </c>
      <c r="H366" s="4" t="str">
        <f aca="false">INDEX(Customers!$C:$C,MATCH(D366,Customers!$A:$A,0))</f>
        <v>R01</v>
      </c>
      <c r="I366" s="7" t="n">
        <f aca="false">INDEX(Regions!$C:$C,MATCH(H366,Regions!$A:$A,0))</f>
        <v>0.0825</v>
      </c>
      <c r="J366" s="7" t="n">
        <f aca="false">INDEX(Regions!$D:$D,MATCH(H366,Regions!$A:$A,0))</f>
        <v>0.05</v>
      </c>
      <c r="K366" s="4" t="n">
        <f aca="false">INDEX(Regions!$E:$E,MATCH(H366,Regions!$A:$A,0))</f>
        <v>10</v>
      </c>
      <c r="L366" s="5" t="n">
        <f aca="false">E366*F366</f>
        <v>6277.34</v>
      </c>
      <c r="M366" s="5" t="n">
        <f aca="false">IF(E366&gt;=K366,L366*J366,0)</f>
        <v>313.867</v>
      </c>
      <c r="N366" s="5" t="n">
        <f aca="false">(L366-M366)*I366</f>
        <v>491.9865225</v>
      </c>
      <c r="O366" s="5" t="n">
        <f aca="false">L366-M366+N366</f>
        <v>6455.4595225</v>
      </c>
    </row>
    <row r="367" customFormat="false" ht="15" hidden="false" customHeight="false" outlineLevel="0" collapsed="false">
      <c r="A367" s="4" t="s">
        <v>706</v>
      </c>
      <c r="B367" s="9" t="n">
        <v>45946</v>
      </c>
      <c r="C367" s="4" t="s">
        <v>71</v>
      </c>
      <c r="D367" s="4" t="s">
        <v>315</v>
      </c>
      <c r="E367" s="4" t="n">
        <v>30</v>
      </c>
      <c r="F367" s="5" t="n">
        <f aca="false">INDEX(Products!$E:$E,MATCH(C367,Products!$A:$A,0))</f>
        <v>59.51</v>
      </c>
      <c r="G367" s="4" t="str">
        <f aca="false">INDEX(Products!$C:$C,MATCH(C367,Products!$A:$A,0))</f>
        <v>Electronics</v>
      </c>
      <c r="H367" s="4" t="str">
        <f aca="false">INDEX(Customers!$C:$C,MATCH(D367,Customers!$A:$A,0))</f>
        <v>R05</v>
      </c>
      <c r="I367" s="7" t="n">
        <f aca="false">INDEX(Regions!$C:$C,MATCH(H367,Regions!$A:$A,0))</f>
        <v>0.0925</v>
      </c>
      <c r="J367" s="7" t="n">
        <f aca="false">INDEX(Regions!$D:$D,MATCH(H367,Regions!$A:$A,0))</f>
        <v>0.06</v>
      </c>
      <c r="K367" s="4" t="n">
        <f aca="false">INDEX(Regions!$E:$E,MATCH(H367,Regions!$A:$A,0))</f>
        <v>8</v>
      </c>
      <c r="L367" s="5" t="n">
        <f aca="false">E367*F367</f>
        <v>1785.3</v>
      </c>
      <c r="M367" s="5" t="n">
        <f aca="false">IF(E367&gt;=K367,L367*J367,0)</f>
        <v>107.118</v>
      </c>
      <c r="N367" s="5" t="n">
        <f aca="false">(L367-M367)*I367</f>
        <v>155.231835</v>
      </c>
      <c r="O367" s="5" t="n">
        <f aca="false">L367-M367+N367</f>
        <v>1833.413835</v>
      </c>
    </row>
    <row r="368" customFormat="false" ht="15" hidden="false" customHeight="false" outlineLevel="0" collapsed="false">
      <c r="A368" s="4" t="s">
        <v>707</v>
      </c>
      <c r="B368" s="9" t="n">
        <v>45672</v>
      </c>
      <c r="C368" s="4" t="s">
        <v>32</v>
      </c>
      <c r="D368" s="4" t="s">
        <v>311</v>
      </c>
      <c r="E368" s="4" t="n">
        <v>28</v>
      </c>
      <c r="F368" s="5" t="n">
        <f aca="false">INDEX(Products!$E:$E,MATCH(C368,Products!$A:$A,0))</f>
        <v>112.96</v>
      </c>
      <c r="G368" s="4" t="str">
        <f aca="false">INDEX(Products!$C:$C,MATCH(C368,Products!$A:$A,0))</f>
        <v>Home &amp; Kitchen</v>
      </c>
      <c r="H368" s="4" t="str">
        <f aca="false">INDEX(Customers!$C:$C,MATCH(D368,Customers!$A:$A,0))</f>
        <v>R06</v>
      </c>
      <c r="I368" s="7" t="n">
        <f aca="false">INDEX(Regions!$C:$C,MATCH(H368,Regions!$A:$A,0))</f>
        <v>0.06</v>
      </c>
      <c r="J368" s="7" t="n">
        <f aca="false">INDEX(Regions!$D:$D,MATCH(H368,Regions!$A:$A,0))</f>
        <v>0.04</v>
      </c>
      <c r="K368" s="4" t="n">
        <f aca="false">INDEX(Regions!$E:$E,MATCH(H368,Regions!$A:$A,0))</f>
        <v>12</v>
      </c>
      <c r="L368" s="5" t="n">
        <f aca="false">E368*F368</f>
        <v>3162.88</v>
      </c>
      <c r="M368" s="5" t="n">
        <f aca="false">IF(E368&gt;=K368,L368*J368,0)</f>
        <v>126.5152</v>
      </c>
      <c r="N368" s="5" t="n">
        <f aca="false">(L368-M368)*I368</f>
        <v>182.181888</v>
      </c>
      <c r="O368" s="5" t="n">
        <f aca="false">L368-M368+N368</f>
        <v>3218.546688</v>
      </c>
    </row>
    <row r="369" customFormat="false" ht="15" hidden="false" customHeight="false" outlineLevel="0" collapsed="false">
      <c r="A369" s="4" t="s">
        <v>708</v>
      </c>
      <c r="B369" s="9" t="n">
        <v>45953</v>
      </c>
      <c r="C369" s="4" t="s">
        <v>40</v>
      </c>
      <c r="D369" s="4" t="s">
        <v>144</v>
      </c>
      <c r="E369" s="4" t="n">
        <v>21</v>
      </c>
      <c r="F369" s="5" t="n">
        <f aca="false">INDEX(Products!$E:$E,MATCH(C369,Products!$A:$A,0))</f>
        <v>93.05</v>
      </c>
      <c r="G369" s="4" t="str">
        <f aca="false">INDEX(Products!$C:$C,MATCH(C369,Products!$A:$A,0))</f>
        <v>Office Supplies</v>
      </c>
      <c r="H369" s="4" t="str">
        <f aca="false">INDEX(Customers!$C:$C,MATCH(D369,Customers!$A:$A,0))</f>
        <v>R08</v>
      </c>
      <c r="I369" s="7" t="n">
        <f aca="false">INDEX(Regions!$C:$C,MATCH(H369,Regions!$A:$A,0))</f>
        <v>0.12</v>
      </c>
      <c r="J369" s="7" t="n">
        <f aca="false">INDEX(Regions!$D:$D,MATCH(H369,Regions!$A:$A,0))</f>
        <v>0.04</v>
      </c>
      <c r="K369" s="4" t="n">
        <f aca="false">INDEX(Regions!$E:$E,MATCH(H369,Regions!$A:$A,0))</f>
        <v>12</v>
      </c>
      <c r="L369" s="5" t="n">
        <f aca="false">E369*F369</f>
        <v>1954.05</v>
      </c>
      <c r="M369" s="5" t="n">
        <f aca="false">IF(E369&gt;=K369,L369*J369,0)</f>
        <v>78.162</v>
      </c>
      <c r="N369" s="5" t="n">
        <f aca="false">(L369-M369)*I369</f>
        <v>225.10656</v>
      </c>
      <c r="O369" s="5" t="n">
        <f aca="false">L369-M369+N369</f>
        <v>2100.99456</v>
      </c>
    </row>
    <row r="370" customFormat="false" ht="15" hidden="false" customHeight="false" outlineLevel="0" collapsed="false">
      <c r="A370" s="4" t="s">
        <v>709</v>
      </c>
      <c r="B370" s="9" t="n">
        <v>45950</v>
      </c>
      <c r="C370" s="4" t="s">
        <v>62</v>
      </c>
      <c r="D370" s="4" t="s">
        <v>282</v>
      </c>
      <c r="E370" s="4" t="n">
        <v>7</v>
      </c>
      <c r="F370" s="5" t="n">
        <f aca="false">INDEX(Products!$E:$E,MATCH(C370,Products!$A:$A,0))</f>
        <v>329.87</v>
      </c>
      <c r="G370" s="4" t="str">
        <f aca="false">INDEX(Products!$C:$C,MATCH(C370,Products!$A:$A,0))</f>
        <v>Electronics</v>
      </c>
      <c r="H370" s="4" t="str">
        <f aca="false">INDEX(Customers!$C:$C,MATCH(D370,Customers!$A:$A,0))</f>
        <v>R01</v>
      </c>
      <c r="I370" s="7" t="n">
        <f aca="false">INDEX(Regions!$C:$C,MATCH(H370,Regions!$A:$A,0))</f>
        <v>0.0825</v>
      </c>
      <c r="J370" s="7" t="n">
        <f aca="false">INDEX(Regions!$D:$D,MATCH(H370,Regions!$A:$A,0))</f>
        <v>0.05</v>
      </c>
      <c r="K370" s="4" t="n">
        <f aca="false">INDEX(Regions!$E:$E,MATCH(H370,Regions!$A:$A,0))</f>
        <v>10</v>
      </c>
      <c r="L370" s="5" t="n">
        <f aca="false">E370*F370</f>
        <v>2309.09</v>
      </c>
      <c r="M370" s="5" t="n">
        <f aca="false">IF(E370&gt;=K370,L370*J370,0)</f>
        <v>0</v>
      </c>
      <c r="N370" s="5" t="n">
        <f aca="false">(L370-M370)*I370</f>
        <v>190.499925</v>
      </c>
      <c r="O370" s="5" t="n">
        <f aca="false">L370-M370+N370</f>
        <v>2499.589925</v>
      </c>
    </row>
    <row r="371" customFormat="false" ht="15" hidden="false" customHeight="false" outlineLevel="0" collapsed="false">
      <c r="A371" s="4" t="s">
        <v>710</v>
      </c>
      <c r="B371" s="9" t="n">
        <v>45673</v>
      </c>
      <c r="C371" s="4" t="s">
        <v>80</v>
      </c>
      <c r="D371" s="4" t="s">
        <v>276</v>
      </c>
      <c r="E371" s="4" t="n">
        <v>21</v>
      </c>
      <c r="F371" s="5" t="n">
        <f aca="false">INDEX(Products!$E:$E,MATCH(C371,Products!$A:$A,0))</f>
        <v>479.87</v>
      </c>
      <c r="G371" s="4" t="str">
        <f aca="false">INDEX(Products!$C:$C,MATCH(C371,Products!$A:$A,0))</f>
        <v>Office Supplies</v>
      </c>
      <c r="H371" s="4" t="str">
        <f aca="false">INDEX(Customers!$C:$C,MATCH(D371,Customers!$A:$A,0))</f>
        <v>R01</v>
      </c>
      <c r="I371" s="7" t="n">
        <f aca="false">INDEX(Regions!$C:$C,MATCH(H371,Regions!$A:$A,0))</f>
        <v>0.0825</v>
      </c>
      <c r="J371" s="7" t="n">
        <f aca="false">INDEX(Regions!$D:$D,MATCH(H371,Regions!$A:$A,0))</f>
        <v>0.05</v>
      </c>
      <c r="K371" s="4" t="n">
        <f aca="false">INDEX(Regions!$E:$E,MATCH(H371,Regions!$A:$A,0))</f>
        <v>10</v>
      </c>
      <c r="L371" s="5" t="n">
        <f aca="false">E371*F371</f>
        <v>10077.27</v>
      </c>
      <c r="M371" s="5" t="n">
        <f aca="false">IF(E371&gt;=K371,L371*J371,0)</f>
        <v>503.8635</v>
      </c>
      <c r="N371" s="5" t="n">
        <f aca="false">(L371-M371)*I371</f>
        <v>789.80603625</v>
      </c>
      <c r="O371" s="5" t="n">
        <f aca="false">L371-M371+N371</f>
        <v>10363.21253625</v>
      </c>
    </row>
    <row r="372" customFormat="false" ht="15" hidden="false" customHeight="false" outlineLevel="0" collapsed="false">
      <c r="A372" s="4" t="s">
        <v>711</v>
      </c>
      <c r="B372" s="9" t="n">
        <v>45937</v>
      </c>
      <c r="C372" s="4" t="s">
        <v>90</v>
      </c>
      <c r="D372" s="4" t="s">
        <v>323</v>
      </c>
      <c r="E372" s="4" t="n">
        <v>21</v>
      </c>
      <c r="F372" s="5" t="n">
        <f aca="false">INDEX(Products!$E:$E,MATCH(C372,Products!$A:$A,0))</f>
        <v>446.56</v>
      </c>
      <c r="G372" s="4" t="str">
        <f aca="false">INDEX(Products!$C:$C,MATCH(C372,Products!$A:$A,0))</f>
        <v>Outdoor</v>
      </c>
      <c r="H372" s="4" t="str">
        <f aca="false">INDEX(Customers!$C:$C,MATCH(D372,Customers!$A:$A,0))</f>
        <v>R05</v>
      </c>
      <c r="I372" s="7" t="n">
        <f aca="false">INDEX(Regions!$C:$C,MATCH(H372,Regions!$A:$A,0))</f>
        <v>0.0925</v>
      </c>
      <c r="J372" s="7" t="n">
        <f aca="false">INDEX(Regions!$D:$D,MATCH(H372,Regions!$A:$A,0))</f>
        <v>0.06</v>
      </c>
      <c r="K372" s="4" t="n">
        <f aca="false">INDEX(Regions!$E:$E,MATCH(H372,Regions!$A:$A,0))</f>
        <v>8</v>
      </c>
      <c r="L372" s="5" t="n">
        <f aca="false">E372*F372</f>
        <v>9377.76</v>
      </c>
      <c r="M372" s="5" t="n">
        <f aca="false">IF(E372&gt;=K372,L372*J372,0)</f>
        <v>562.6656</v>
      </c>
      <c r="N372" s="5" t="n">
        <f aca="false">(L372-M372)*I372</f>
        <v>815.396232</v>
      </c>
      <c r="O372" s="5" t="n">
        <f aca="false">L372-M372+N372</f>
        <v>9630.490632</v>
      </c>
    </row>
    <row r="373" customFormat="false" ht="15" hidden="false" customHeight="false" outlineLevel="0" collapsed="false">
      <c r="A373" s="4" t="s">
        <v>712</v>
      </c>
      <c r="B373" s="9" t="n">
        <v>45905</v>
      </c>
      <c r="C373" s="4" t="s">
        <v>66</v>
      </c>
      <c r="D373" s="4" t="s">
        <v>280</v>
      </c>
      <c r="E373" s="4" t="n">
        <v>10</v>
      </c>
      <c r="F373" s="5" t="n">
        <f aca="false">INDEX(Products!$E:$E,MATCH(C373,Products!$A:$A,0))</f>
        <v>55.31</v>
      </c>
      <c r="G373" s="4" t="str">
        <f aca="false">INDEX(Products!$C:$C,MATCH(C373,Products!$A:$A,0))</f>
        <v>Outdoor</v>
      </c>
      <c r="H373" s="4" t="str">
        <f aca="false">INDEX(Customers!$C:$C,MATCH(D373,Customers!$A:$A,0))</f>
        <v>R01</v>
      </c>
      <c r="I373" s="7" t="n">
        <f aca="false">INDEX(Regions!$C:$C,MATCH(H373,Regions!$A:$A,0))</f>
        <v>0.0825</v>
      </c>
      <c r="J373" s="7" t="n">
        <f aca="false">INDEX(Regions!$D:$D,MATCH(H373,Regions!$A:$A,0))</f>
        <v>0.05</v>
      </c>
      <c r="K373" s="4" t="n">
        <f aca="false">INDEX(Regions!$E:$E,MATCH(H373,Regions!$A:$A,0))</f>
        <v>10</v>
      </c>
      <c r="L373" s="5" t="n">
        <f aca="false">E373*F373</f>
        <v>553.1</v>
      </c>
      <c r="M373" s="5" t="n">
        <f aca="false">IF(E373&gt;=K373,L373*J373,0)</f>
        <v>27.655</v>
      </c>
      <c r="N373" s="5" t="n">
        <f aca="false">(L373-M373)*I373</f>
        <v>43.3492125</v>
      </c>
      <c r="O373" s="5" t="n">
        <f aca="false">L373-M373+N373</f>
        <v>568.7942125</v>
      </c>
    </row>
    <row r="374" customFormat="false" ht="15" hidden="false" customHeight="false" outlineLevel="0" collapsed="false">
      <c r="A374" s="4" t="s">
        <v>713</v>
      </c>
      <c r="B374" s="9" t="n">
        <v>46008</v>
      </c>
      <c r="C374" s="4" t="s">
        <v>60</v>
      </c>
      <c r="D374" s="4" t="s">
        <v>309</v>
      </c>
      <c r="E374" s="4" t="n">
        <v>26</v>
      </c>
      <c r="F374" s="5" t="n">
        <f aca="false">INDEX(Products!$E:$E,MATCH(C374,Products!$A:$A,0))</f>
        <v>420.29</v>
      </c>
      <c r="G374" s="4" t="str">
        <f aca="false">INDEX(Products!$C:$C,MATCH(C374,Products!$A:$A,0))</f>
        <v>Office Supplies</v>
      </c>
      <c r="H374" s="4" t="str">
        <f aca="false">INDEX(Customers!$C:$C,MATCH(D374,Customers!$A:$A,0))</f>
        <v>R08</v>
      </c>
      <c r="I374" s="7" t="n">
        <f aca="false">INDEX(Regions!$C:$C,MATCH(H374,Regions!$A:$A,0))</f>
        <v>0.12</v>
      </c>
      <c r="J374" s="7" t="n">
        <f aca="false">INDEX(Regions!$D:$D,MATCH(H374,Regions!$A:$A,0))</f>
        <v>0.04</v>
      </c>
      <c r="K374" s="4" t="n">
        <f aca="false">INDEX(Regions!$E:$E,MATCH(H374,Regions!$A:$A,0))</f>
        <v>12</v>
      </c>
      <c r="L374" s="5" t="n">
        <f aca="false">E374*F374</f>
        <v>10927.54</v>
      </c>
      <c r="M374" s="5" t="n">
        <f aca="false">IF(E374&gt;=K374,L374*J374,0)</f>
        <v>437.1016</v>
      </c>
      <c r="N374" s="5" t="n">
        <f aca="false">(L374-M374)*I374</f>
        <v>1258.852608</v>
      </c>
      <c r="O374" s="5" t="n">
        <f aca="false">L374-M374+N374</f>
        <v>11749.291008</v>
      </c>
    </row>
    <row r="375" customFormat="false" ht="15" hidden="false" customHeight="false" outlineLevel="0" collapsed="false">
      <c r="A375" s="4" t="s">
        <v>714</v>
      </c>
      <c r="B375" s="9" t="n">
        <v>45695</v>
      </c>
      <c r="C375" s="4" t="s">
        <v>79</v>
      </c>
      <c r="D375" s="4" t="s">
        <v>208</v>
      </c>
      <c r="E375" s="4" t="n">
        <v>15</v>
      </c>
      <c r="F375" s="5" t="n">
        <f aca="false">INDEX(Products!$E:$E,MATCH(C375,Products!$A:$A,0))</f>
        <v>53.77</v>
      </c>
      <c r="G375" s="4" t="str">
        <f aca="false">INDEX(Products!$C:$C,MATCH(C375,Products!$A:$A,0))</f>
        <v>Office Supplies</v>
      </c>
      <c r="H375" s="4" t="str">
        <f aca="false">INDEX(Customers!$C:$C,MATCH(D375,Customers!$A:$A,0))</f>
        <v>R03</v>
      </c>
      <c r="I375" s="7" t="n">
        <f aca="false">INDEX(Regions!$C:$C,MATCH(H375,Regions!$A:$A,0))</f>
        <v>0.0625</v>
      </c>
      <c r="J375" s="7" t="n">
        <f aca="false">INDEX(Regions!$D:$D,MATCH(H375,Regions!$A:$A,0))</f>
        <v>0.03</v>
      </c>
      <c r="K375" s="4" t="n">
        <f aca="false">INDEX(Regions!$E:$E,MATCH(H375,Regions!$A:$A,0))</f>
        <v>15</v>
      </c>
      <c r="L375" s="5" t="n">
        <f aca="false">E375*F375</f>
        <v>806.55</v>
      </c>
      <c r="M375" s="5" t="n">
        <f aca="false">IF(E375&gt;=K375,L375*J375,0)</f>
        <v>24.1965</v>
      </c>
      <c r="N375" s="5" t="n">
        <f aca="false">(L375-M375)*I375</f>
        <v>48.89709375</v>
      </c>
      <c r="O375" s="5" t="n">
        <f aca="false">L375-M375+N375</f>
        <v>831.25059375</v>
      </c>
    </row>
    <row r="376" customFormat="false" ht="15" hidden="false" customHeight="false" outlineLevel="0" collapsed="false">
      <c r="A376" s="4" t="s">
        <v>715</v>
      </c>
      <c r="B376" s="9" t="n">
        <v>45870</v>
      </c>
      <c r="C376" s="4" t="s">
        <v>35</v>
      </c>
      <c r="D376" s="4" t="s">
        <v>175</v>
      </c>
      <c r="E376" s="4" t="n">
        <v>15</v>
      </c>
      <c r="F376" s="5" t="n">
        <f aca="false">INDEX(Products!$E:$E,MATCH(C376,Products!$A:$A,0))</f>
        <v>180.72</v>
      </c>
      <c r="G376" s="4" t="str">
        <f aca="false">INDEX(Products!$C:$C,MATCH(C376,Products!$A:$A,0))</f>
        <v>Apparel</v>
      </c>
      <c r="H376" s="4" t="str">
        <f aca="false">INDEX(Customers!$C:$C,MATCH(D376,Customers!$A:$A,0))</f>
        <v>R08</v>
      </c>
      <c r="I376" s="7" t="n">
        <f aca="false">INDEX(Regions!$C:$C,MATCH(H376,Regions!$A:$A,0))</f>
        <v>0.12</v>
      </c>
      <c r="J376" s="7" t="n">
        <f aca="false">INDEX(Regions!$D:$D,MATCH(H376,Regions!$A:$A,0))</f>
        <v>0.04</v>
      </c>
      <c r="K376" s="4" t="n">
        <f aca="false">INDEX(Regions!$E:$E,MATCH(H376,Regions!$A:$A,0))</f>
        <v>12</v>
      </c>
      <c r="L376" s="5" t="n">
        <f aca="false">E376*F376</f>
        <v>2710.8</v>
      </c>
      <c r="M376" s="5" t="n">
        <f aca="false">IF(E376&gt;=K376,L376*J376,0)</f>
        <v>108.432</v>
      </c>
      <c r="N376" s="5" t="n">
        <f aca="false">(L376-M376)*I376</f>
        <v>312.28416</v>
      </c>
      <c r="O376" s="5" t="n">
        <f aca="false">L376-M376+N376</f>
        <v>2914.65216</v>
      </c>
    </row>
    <row r="377" customFormat="false" ht="15" hidden="false" customHeight="false" outlineLevel="0" collapsed="false">
      <c r="A377" s="4" t="s">
        <v>716</v>
      </c>
      <c r="B377" s="9" t="n">
        <v>45832</v>
      </c>
      <c r="C377" s="4" t="s">
        <v>88</v>
      </c>
      <c r="D377" s="4" t="s">
        <v>244</v>
      </c>
      <c r="E377" s="4" t="n">
        <v>7</v>
      </c>
      <c r="F377" s="5" t="n">
        <f aca="false">INDEX(Products!$E:$E,MATCH(C377,Products!$A:$A,0))</f>
        <v>94.16</v>
      </c>
      <c r="G377" s="4" t="str">
        <f aca="false">INDEX(Products!$C:$C,MATCH(C377,Products!$A:$A,0))</f>
        <v>Office Supplies</v>
      </c>
      <c r="H377" s="4" t="str">
        <f aca="false">INDEX(Customers!$C:$C,MATCH(D377,Customers!$A:$A,0))</f>
        <v>R07</v>
      </c>
      <c r="I377" s="7" t="n">
        <f aca="false">INDEX(Regions!$C:$C,MATCH(H377,Regions!$A:$A,0))</f>
        <v>0.15</v>
      </c>
      <c r="J377" s="7" t="n">
        <f aca="false">INDEX(Regions!$D:$D,MATCH(H377,Regions!$A:$A,0))</f>
        <v>0.05</v>
      </c>
      <c r="K377" s="4" t="n">
        <f aca="false">INDEX(Regions!$E:$E,MATCH(H377,Regions!$A:$A,0))</f>
        <v>10</v>
      </c>
      <c r="L377" s="5" t="n">
        <f aca="false">E377*F377</f>
        <v>659.12</v>
      </c>
      <c r="M377" s="5" t="n">
        <f aca="false">IF(E377&gt;=K377,L377*J377,0)</f>
        <v>0</v>
      </c>
      <c r="N377" s="5" t="n">
        <f aca="false">(L377-M377)*I377</f>
        <v>98.868</v>
      </c>
      <c r="O377" s="5" t="n">
        <f aca="false">L377-M377+N377</f>
        <v>757.988</v>
      </c>
    </row>
    <row r="378" customFormat="false" ht="15" hidden="false" customHeight="false" outlineLevel="0" collapsed="false">
      <c r="A378" s="4" t="s">
        <v>717</v>
      </c>
      <c r="B378" s="9" t="n">
        <v>45821</v>
      </c>
      <c r="C378" s="4" t="s">
        <v>103</v>
      </c>
      <c r="D378" s="4" t="s">
        <v>171</v>
      </c>
      <c r="E378" s="4" t="n">
        <v>11</v>
      </c>
      <c r="F378" s="5" t="n">
        <f aca="false">INDEX(Products!$E:$E,MATCH(C378,Products!$A:$A,0))</f>
        <v>125.31</v>
      </c>
      <c r="G378" s="4" t="str">
        <f aca="false">INDEX(Products!$C:$C,MATCH(C378,Products!$A:$A,0))</f>
        <v>Home &amp; Kitchen</v>
      </c>
      <c r="H378" s="4" t="str">
        <f aca="false">INDEX(Customers!$C:$C,MATCH(D378,Customers!$A:$A,0))</f>
        <v>R05</v>
      </c>
      <c r="I378" s="7" t="n">
        <f aca="false">INDEX(Regions!$C:$C,MATCH(H378,Regions!$A:$A,0))</f>
        <v>0.0925</v>
      </c>
      <c r="J378" s="7" t="n">
        <f aca="false">INDEX(Regions!$D:$D,MATCH(H378,Regions!$A:$A,0))</f>
        <v>0.06</v>
      </c>
      <c r="K378" s="4" t="n">
        <f aca="false">INDEX(Regions!$E:$E,MATCH(H378,Regions!$A:$A,0))</f>
        <v>8</v>
      </c>
      <c r="L378" s="5" t="n">
        <f aca="false">E378*F378</f>
        <v>1378.41</v>
      </c>
      <c r="M378" s="5" t="n">
        <f aca="false">IF(E378&gt;=K378,L378*J378,0)</f>
        <v>82.7046</v>
      </c>
      <c r="N378" s="5" t="n">
        <f aca="false">(L378-M378)*I378</f>
        <v>119.8527495</v>
      </c>
      <c r="O378" s="5" t="n">
        <f aca="false">L378-M378+N378</f>
        <v>1415.5581495</v>
      </c>
    </row>
    <row r="379" customFormat="false" ht="15" hidden="false" customHeight="false" outlineLevel="0" collapsed="false">
      <c r="A379" s="4" t="s">
        <v>718</v>
      </c>
      <c r="B379" s="9" t="n">
        <v>45847</v>
      </c>
      <c r="C379" s="4" t="s">
        <v>73</v>
      </c>
      <c r="D379" s="4" t="s">
        <v>232</v>
      </c>
      <c r="E379" s="4" t="n">
        <v>5</v>
      </c>
      <c r="F379" s="5" t="n">
        <f aca="false">INDEX(Products!$E:$E,MATCH(C379,Products!$A:$A,0))</f>
        <v>180.28</v>
      </c>
      <c r="G379" s="4" t="str">
        <f aca="false">INDEX(Products!$C:$C,MATCH(C379,Products!$A:$A,0))</f>
        <v>Electronics</v>
      </c>
      <c r="H379" s="4" t="str">
        <f aca="false">INDEX(Customers!$C:$C,MATCH(D379,Customers!$A:$A,0))</f>
        <v>R03</v>
      </c>
      <c r="I379" s="7" t="n">
        <f aca="false">INDEX(Regions!$C:$C,MATCH(H379,Regions!$A:$A,0))</f>
        <v>0.0625</v>
      </c>
      <c r="J379" s="7" t="n">
        <f aca="false">INDEX(Regions!$D:$D,MATCH(H379,Regions!$A:$A,0))</f>
        <v>0.03</v>
      </c>
      <c r="K379" s="4" t="n">
        <f aca="false">INDEX(Regions!$E:$E,MATCH(H379,Regions!$A:$A,0))</f>
        <v>15</v>
      </c>
      <c r="L379" s="5" t="n">
        <f aca="false">E379*F379</f>
        <v>901.4</v>
      </c>
      <c r="M379" s="5" t="n">
        <f aca="false">IF(E379&gt;=K379,L379*J379,0)</f>
        <v>0</v>
      </c>
      <c r="N379" s="5" t="n">
        <f aca="false">(L379-M379)*I379</f>
        <v>56.3375</v>
      </c>
      <c r="O379" s="5" t="n">
        <f aca="false">L379-M379+N379</f>
        <v>957.7375</v>
      </c>
    </row>
    <row r="380" customFormat="false" ht="15" hidden="false" customHeight="false" outlineLevel="0" collapsed="false">
      <c r="A380" s="4" t="s">
        <v>719</v>
      </c>
      <c r="B380" s="9" t="n">
        <v>45821</v>
      </c>
      <c r="C380" s="4" t="s">
        <v>92</v>
      </c>
      <c r="D380" s="4" t="s">
        <v>263</v>
      </c>
      <c r="E380" s="4" t="n">
        <v>4</v>
      </c>
      <c r="F380" s="5" t="n">
        <f aca="false">INDEX(Products!$E:$E,MATCH(C380,Products!$A:$A,0))</f>
        <v>333.4</v>
      </c>
      <c r="G380" s="4" t="str">
        <f aca="false">INDEX(Products!$C:$C,MATCH(C380,Products!$A:$A,0))</f>
        <v>Outdoor</v>
      </c>
      <c r="H380" s="4" t="str">
        <f aca="false">INDEX(Customers!$C:$C,MATCH(D380,Customers!$A:$A,0))</f>
        <v>R08</v>
      </c>
      <c r="I380" s="7" t="n">
        <f aca="false">INDEX(Regions!$C:$C,MATCH(H380,Regions!$A:$A,0))</f>
        <v>0.12</v>
      </c>
      <c r="J380" s="7" t="n">
        <f aca="false">INDEX(Regions!$D:$D,MATCH(H380,Regions!$A:$A,0))</f>
        <v>0.04</v>
      </c>
      <c r="K380" s="4" t="n">
        <f aca="false">INDEX(Regions!$E:$E,MATCH(H380,Regions!$A:$A,0))</f>
        <v>12</v>
      </c>
      <c r="L380" s="5" t="n">
        <f aca="false">E380*F380</f>
        <v>1333.6</v>
      </c>
      <c r="M380" s="5" t="n">
        <f aca="false">IF(E380&gt;=K380,L380*J380,0)</f>
        <v>0</v>
      </c>
      <c r="N380" s="5" t="n">
        <f aca="false">(L380-M380)*I380</f>
        <v>160.032</v>
      </c>
      <c r="O380" s="5" t="n">
        <f aca="false">L380-M380+N380</f>
        <v>1493.632</v>
      </c>
    </row>
    <row r="381" customFormat="false" ht="15" hidden="false" customHeight="false" outlineLevel="0" collapsed="false">
      <c r="A381" s="4" t="s">
        <v>720</v>
      </c>
      <c r="B381" s="9" t="n">
        <v>45794</v>
      </c>
      <c r="C381" s="4" t="s">
        <v>60</v>
      </c>
      <c r="D381" s="4" t="s">
        <v>244</v>
      </c>
      <c r="E381" s="4" t="n">
        <v>4</v>
      </c>
      <c r="F381" s="5" t="n">
        <f aca="false">INDEX(Products!$E:$E,MATCH(C381,Products!$A:$A,0))</f>
        <v>420.29</v>
      </c>
      <c r="G381" s="4" t="str">
        <f aca="false">INDEX(Products!$C:$C,MATCH(C381,Products!$A:$A,0))</f>
        <v>Office Supplies</v>
      </c>
      <c r="H381" s="4" t="str">
        <f aca="false">INDEX(Customers!$C:$C,MATCH(D381,Customers!$A:$A,0))</f>
        <v>R07</v>
      </c>
      <c r="I381" s="7" t="n">
        <f aca="false">INDEX(Regions!$C:$C,MATCH(H381,Regions!$A:$A,0))</f>
        <v>0.15</v>
      </c>
      <c r="J381" s="7" t="n">
        <f aca="false">INDEX(Regions!$D:$D,MATCH(H381,Regions!$A:$A,0))</f>
        <v>0.05</v>
      </c>
      <c r="K381" s="4" t="n">
        <f aca="false">INDEX(Regions!$E:$E,MATCH(H381,Regions!$A:$A,0))</f>
        <v>10</v>
      </c>
      <c r="L381" s="5" t="n">
        <f aca="false">E381*F381</f>
        <v>1681.16</v>
      </c>
      <c r="M381" s="5" t="n">
        <f aca="false">IF(E381&gt;=K381,L381*J381,0)</f>
        <v>0</v>
      </c>
      <c r="N381" s="5" t="n">
        <f aca="false">(L381-M381)*I381</f>
        <v>252.174</v>
      </c>
      <c r="O381" s="5" t="n">
        <f aca="false">L381-M381+N381</f>
        <v>1933.334</v>
      </c>
    </row>
    <row r="382" customFormat="false" ht="15" hidden="false" customHeight="false" outlineLevel="0" collapsed="false">
      <c r="A382" s="4" t="s">
        <v>721</v>
      </c>
      <c r="B382" s="9" t="n">
        <v>45707</v>
      </c>
      <c r="C382" s="4" t="s">
        <v>84</v>
      </c>
      <c r="D382" s="4" t="s">
        <v>195</v>
      </c>
      <c r="E382" s="4" t="n">
        <v>5</v>
      </c>
      <c r="F382" s="5" t="n">
        <f aca="false">INDEX(Products!$E:$E,MATCH(C382,Products!$A:$A,0))</f>
        <v>338.07</v>
      </c>
      <c r="G382" s="4" t="str">
        <f aca="false">INDEX(Products!$C:$C,MATCH(C382,Products!$A:$A,0))</f>
        <v>Office Supplies</v>
      </c>
      <c r="H382" s="4" t="str">
        <f aca="false">INDEX(Customers!$C:$C,MATCH(D382,Customers!$A:$A,0))</f>
        <v>R01</v>
      </c>
      <c r="I382" s="7" t="n">
        <f aca="false">INDEX(Regions!$C:$C,MATCH(H382,Regions!$A:$A,0))</f>
        <v>0.0825</v>
      </c>
      <c r="J382" s="7" t="n">
        <f aca="false">INDEX(Regions!$D:$D,MATCH(H382,Regions!$A:$A,0))</f>
        <v>0.05</v>
      </c>
      <c r="K382" s="4" t="n">
        <f aca="false">INDEX(Regions!$E:$E,MATCH(H382,Regions!$A:$A,0))</f>
        <v>10</v>
      </c>
      <c r="L382" s="5" t="n">
        <f aca="false">E382*F382</f>
        <v>1690.35</v>
      </c>
      <c r="M382" s="5" t="n">
        <f aca="false">IF(E382&gt;=K382,L382*J382,0)</f>
        <v>0</v>
      </c>
      <c r="N382" s="5" t="n">
        <f aca="false">(L382-M382)*I382</f>
        <v>139.453875</v>
      </c>
      <c r="O382" s="5" t="n">
        <f aca="false">L382-M382+N382</f>
        <v>1829.803875</v>
      </c>
    </row>
    <row r="383" customFormat="false" ht="15" hidden="false" customHeight="false" outlineLevel="0" collapsed="false">
      <c r="A383" s="4" t="s">
        <v>722</v>
      </c>
      <c r="B383" s="9" t="n">
        <v>45973</v>
      </c>
      <c r="C383" s="4" t="s">
        <v>35</v>
      </c>
      <c r="D383" s="4" t="s">
        <v>206</v>
      </c>
      <c r="E383" s="4" t="n">
        <v>13</v>
      </c>
      <c r="F383" s="5" t="n">
        <f aca="false">INDEX(Products!$E:$E,MATCH(C383,Products!$A:$A,0))</f>
        <v>180.72</v>
      </c>
      <c r="G383" s="4" t="str">
        <f aca="false">INDEX(Products!$C:$C,MATCH(C383,Products!$A:$A,0))</f>
        <v>Apparel</v>
      </c>
      <c r="H383" s="4" t="str">
        <f aca="false">INDEX(Customers!$C:$C,MATCH(D383,Customers!$A:$A,0))</f>
        <v>R07</v>
      </c>
      <c r="I383" s="7" t="n">
        <f aca="false">INDEX(Regions!$C:$C,MATCH(H383,Regions!$A:$A,0))</f>
        <v>0.15</v>
      </c>
      <c r="J383" s="7" t="n">
        <f aca="false">INDEX(Regions!$D:$D,MATCH(H383,Regions!$A:$A,0))</f>
        <v>0.05</v>
      </c>
      <c r="K383" s="4" t="n">
        <f aca="false">INDEX(Regions!$E:$E,MATCH(H383,Regions!$A:$A,0))</f>
        <v>10</v>
      </c>
      <c r="L383" s="5" t="n">
        <f aca="false">E383*F383</f>
        <v>2349.36</v>
      </c>
      <c r="M383" s="5" t="n">
        <f aca="false">IF(E383&gt;=K383,L383*J383,0)</f>
        <v>117.468</v>
      </c>
      <c r="N383" s="5" t="n">
        <f aca="false">(L383-M383)*I383</f>
        <v>334.7838</v>
      </c>
      <c r="O383" s="5" t="n">
        <f aca="false">L383-M383+N383</f>
        <v>2566.6758</v>
      </c>
    </row>
    <row r="384" customFormat="false" ht="15" hidden="false" customHeight="false" outlineLevel="0" collapsed="false">
      <c r="A384" s="4" t="s">
        <v>723</v>
      </c>
      <c r="B384" s="9" t="n">
        <v>45739</v>
      </c>
      <c r="C384" s="4" t="s">
        <v>80</v>
      </c>
      <c r="D384" s="4" t="s">
        <v>195</v>
      </c>
      <c r="E384" s="4" t="n">
        <v>28</v>
      </c>
      <c r="F384" s="5" t="n">
        <f aca="false">INDEX(Products!$E:$E,MATCH(C384,Products!$A:$A,0))</f>
        <v>479.87</v>
      </c>
      <c r="G384" s="4" t="str">
        <f aca="false">INDEX(Products!$C:$C,MATCH(C384,Products!$A:$A,0))</f>
        <v>Office Supplies</v>
      </c>
      <c r="H384" s="4" t="str">
        <f aca="false">INDEX(Customers!$C:$C,MATCH(D384,Customers!$A:$A,0))</f>
        <v>R01</v>
      </c>
      <c r="I384" s="7" t="n">
        <f aca="false">INDEX(Regions!$C:$C,MATCH(H384,Regions!$A:$A,0))</f>
        <v>0.0825</v>
      </c>
      <c r="J384" s="7" t="n">
        <f aca="false">INDEX(Regions!$D:$D,MATCH(H384,Regions!$A:$A,0))</f>
        <v>0.05</v>
      </c>
      <c r="K384" s="4" t="n">
        <f aca="false">INDEX(Regions!$E:$E,MATCH(H384,Regions!$A:$A,0))</f>
        <v>10</v>
      </c>
      <c r="L384" s="5" t="n">
        <f aca="false">E384*F384</f>
        <v>13436.36</v>
      </c>
      <c r="M384" s="5" t="n">
        <f aca="false">IF(E384&gt;=K384,L384*J384,0)</f>
        <v>671.818</v>
      </c>
      <c r="N384" s="5" t="n">
        <f aca="false">(L384-M384)*I384</f>
        <v>1053.074715</v>
      </c>
      <c r="O384" s="5" t="n">
        <f aca="false">L384-M384+N384</f>
        <v>13817.616715</v>
      </c>
    </row>
    <row r="385" customFormat="false" ht="15" hidden="false" customHeight="false" outlineLevel="0" collapsed="false">
      <c r="A385" s="4" t="s">
        <v>724</v>
      </c>
      <c r="B385" s="9" t="n">
        <v>45818</v>
      </c>
      <c r="C385" s="4" t="s">
        <v>69</v>
      </c>
      <c r="D385" s="4" t="s">
        <v>333</v>
      </c>
      <c r="E385" s="4" t="n">
        <v>19</v>
      </c>
      <c r="F385" s="5" t="n">
        <f aca="false">INDEX(Products!$E:$E,MATCH(C385,Products!$A:$A,0))</f>
        <v>173.5</v>
      </c>
      <c r="G385" s="4" t="str">
        <f aca="false">INDEX(Products!$C:$C,MATCH(C385,Products!$A:$A,0))</f>
        <v>Home &amp; Kitchen</v>
      </c>
      <c r="H385" s="4" t="str">
        <f aca="false">INDEX(Customers!$C:$C,MATCH(D385,Customers!$A:$A,0))</f>
        <v>R02</v>
      </c>
      <c r="I385" s="7" t="n">
        <f aca="false">INDEX(Regions!$C:$C,MATCH(H385,Regions!$A:$A,0))</f>
        <v>0.07</v>
      </c>
      <c r="J385" s="7" t="n">
        <f aca="false">INDEX(Regions!$D:$D,MATCH(H385,Regions!$A:$A,0))</f>
        <v>0.04</v>
      </c>
      <c r="K385" s="4" t="n">
        <f aca="false">INDEX(Regions!$E:$E,MATCH(H385,Regions!$A:$A,0))</f>
        <v>12</v>
      </c>
      <c r="L385" s="5" t="n">
        <f aca="false">E385*F385</f>
        <v>3296.5</v>
      </c>
      <c r="M385" s="5" t="n">
        <f aca="false">IF(E385&gt;=K385,L385*J385,0)</f>
        <v>131.86</v>
      </c>
      <c r="N385" s="5" t="n">
        <f aca="false">(L385-M385)*I385</f>
        <v>221.5248</v>
      </c>
      <c r="O385" s="5" t="n">
        <f aca="false">L385-M385+N385</f>
        <v>3386.1648</v>
      </c>
    </row>
    <row r="386" customFormat="false" ht="15" hidden="false" customHeight="false" outlineLevel="0" collapsed="false">
      <c r="A386" s="4" t="s">
        <v>725</v>
      </c>
      <c r="B386" s="9" t="n">
        <v>45913</v>
      </c>
      <c r="C386" s="4" t="s">
        <v>54</v>
      </c>
      <c r="D386" s="4" t="s">
        <v>301</v>
      </c>
      <c r="E386" s="4" t="n">
        <v>6</v>
      </c>
      <c r="F386" s="5" t="n">
        <f aca="false">INDEX(Products!$E:$E,MATCH(C386,Products!$A:$A,0))</f>
        <v>84.7</v>
      </c>
      <c r="G386" s="4" t="str">
        <f aca="false">INDEX(Products!$C:$C,MATCH(C386,Products!$A:$A,0))</f>
        <v>Office Supplies</v>
      </c>
      <c r="H386" s="4" t="str">
        <f aca="false">INDEX(Customers!$C:$C,MATCH(D386,Customers!$A:$A,0))</f>
        <v>R08</v>
      </c>
      <c r="I386" s="7" t="n">
        <f aca="false">INDEX(Regions!$C:$C,MATCH(H386,Regions!$A:$A,0))</f>
        <v>0.12</v>
      </c>
      <c r="J386" s="7" t="n">
        <f aca="false">INDEX(Regions!$D:$D,MATCH(H386,Regions!$A:$A,0))</f>
        <v>0.04</v>
      </c>
      <c r="K386" s="4" t="n">
        <f aca="false">INDEX(Regions!$E:$E,MATCH(H386,Regions!$A:$A,0))</f>
        <v>12</v>
      </c>
      <c r="L386" s="5" t="n">
        <f aca="false">E386*F386</f>
        <v>508.2</v>
      </c>
      <c r="M386" s="5" t="n">
        <f aca="false">IF(E386&gt;=K386,L386*J386,0)</f>
        <v>0</v>
      </c>
      <c r="N386" s="5" t="n">
        <f aca="false">(L386-M386)*I386</f>
        <v>60.984</v>
      </c>
      <c r="O386" s="5" t="n">
        <f aca="false">L386-M386+N386</f>
        <v>569.184</v>
      </c>
    </row>
    <row r="387" customFormat="false" ht="15" hidden="false" customHeight="false" outlineLevel="0" collapsed="false">
      <c r="A387" s="4" t="s">
        <v>726</v>
      </c>
      <c r="B387" s="9" t="n">
        <v>45815</v>
      </c>
      <c r="C387" s="4" t="s">
        <v>92</v>
      </c>
      <c r="D387" s="4" t="s">
        <v>244</v>
      </c>
      <c r="E387" s="4" t="n">
        <v>16</v>
      </c>
      <c r="F387" s="5" t="n">
        <f aca="false">INDEX(Products!$E:$E,MATCH(C387,Products!$A:$A,0))</f>
        <v>333.4</v>
      </c>
      <c r="G387" s="4" t="str">
        <f aca="false">INDEX(Products!$C:$C,MATCH(C387,Products!$A:$A,0))</f>
        <v>Outdoor</v>
      </c>
      <c r="H387" s="4" t="str">
        <f aca="false">INDEX(Customers!$C:$C,MATCH(D387,Customers!$A:$A,0))</f>
        <v>R07</v>
      </c>
      <c r="I387" s="7" t="n">
        <f aca="false">INDEX(Regions!$C:$C,MATCH(H387,Regions!$A:$A,0))</f>
        <v>0.15</v>
      </c>
      <c r="J387" s="7" t="n">
        <f aca="false">INDEX(Regions!$D:$D,MATCH(H387,Regions!$A:$A,0))</f>
        <v>0.05</v>
      </c>
      <c r="K387" s="4" t="n">
        <f aca="false">INDEX(Regions!$E:$E,MATCH(H387,Regions!$A:$A,0))</f>
        <v>10</v>
      </c>
      <c r="L387" s="5" t="n">
        <f aca="false">E387*F387</f>
        <v>5334.4</v>
      </c>
      <c r="M387" s="5" t="n">
        <f aca="false">IF(E387&gt;=K387,L387*J387,0)</f>
        <v>266.72</v>
      </c>
      <c r="N387" s="5" t="n">
        <f aca="false">(L387-M387)*I387</f>
        <v>760.152</v>
      </c>
      <c r="O387" s="5" t="n">
        <f aca="false">L387-M387+N387</f>
        <v>5827.832</v>
      </c>
    </row>
    <row r="388" customFormat="false" ht="15" hidden="false" customHeight="false" outlineLevel="0" collapsed="false">
      <c r="A388" s="4" t="s">
        <v>727</v>
      </c>
      <c r="B388" s="9" t="n">
        <v>45859</v>
      </c>
      <c r="C388" s="4" t="s">
        <v>90</v>
      </c>
      <c r="D388" s="4" t="s">
        <v>138</v>
      </c>
      <c r="E388" s="4" t="n">
        <v>3</v>
      </c>
      <c r="F388" s="5" t="n">
        <f aca="false">INDEX(Products!$E:$E,MATCH(C388,Products!$A:$A,0))</f>
        <v>446.56</v>
      </c>
      <c r="G388" s="4" t="str">
        <f aca="false">INDEX(Products!$C:$C,MATCH(C388,Products!$A:$A,0))</f>
        <v>Outdoor</v>
      </c>
      <c r="H388" s="4" t="str">
        <f aca="false">INDEX(Customers!$C:$C,MATCH(D388,Customers!$A:$A,0))</f>
        <v>R02</v>
      </c>
      <c r="I388" s="7" t="n">
        <f aca="false">INDEX(Regions!$C:$C,MATCH(H388,Regions!$A:$A,0))</f>
        <v>0.07</v>
      </c>
      <c r="J388" s="7" t="n">
        <f aca="false">INDEX(Regions!$D:$D,MATCH(H388,Regions!$A:$A,0))</f>
        <v>0.04</v>
      </c>
      <c r="K388" s="4" t="n">
        <f aca="false">INDEX(Regions!$E:$E,MATCH(H388,Regions!$A:$A,0))</f>
        <v>12</v>
      </c>
      <c r="L388" s="5" t="n">
        <f aca="false">E388*F388</f>
        <v>1339.68</v>
      </c>
      <c r="M388" s="5" t="n">
        <f aca="false">IF(E388&gt;=K388,L388*J388,0)</f>
        <v>0</v>
      </c>
      <c r="N388" s="5" t="n">
        <f aca="false">(L388-M388)*I388</f>
        <v>93.7776</v>
      </c>
      <c r="O388" s="5" t="n">
        <f aca="false">L388-M388+N388</f>
        <v>1433.4576</v>
      </c>
    </row>
    <row r="389" customFormat="false" ht="15" hidden="false" customHeight="false" outlineLevel="0" collapsed="false">
      <c r="A389" s="4" t="s">
        <v>728</v>
      </c>
      <c r="B389" s="9" t="n">
        <v>45768</v>
      </c>
      <c r="C389" s="4" t="s">
        <v>92</v>
      </c>
      <c r="D389" s="4" t="s">
        <v>242</v>
      </c>
      <c r="E389" s="4" t="n">
        <v>8</v>
      </c>
      <c r="F389" s="5" t="n">
        <f aca="false">INDEX(Products!$E:$E,MATCH(C389,Products!$A:$A,0))</f>
        <v>333.4</v>
      </c>
      <c r="G389" s="4" t="str">
        <f aca="false">INDEX(Products!$C:$C,MATCH(C389,Products!$A:$A,0))</f>
        <v>Outdoor</v>
      </c>
      <c r="H389" s="4" t="str">
        <f aca="false">INDEX(Customers!$C:$C,MATCH(D389,Customers!$A:$A,0))</f>
        <v>R08</v>
      </c>
      <c r="I389" s="7" t="n">
        <f aca="false">INDEX(Regions!$C:$C,MATCH(H389,Regions!$A:$A,0))</f>
        <v>0.12</v>
      </c>
      <c r="J389" s="7" t="n">
        <f aca="false">INDEX(Regions!$D:$D,MATCH(H389,Regions!$A:$A,0))</f>
        <v>0.04</v>
      </c>
      <c r="K389" s="4" t="n">
        <f aca="false">INDEX(Regions!$E:$E,MATCH(H389,Regions!$A:$A,0))</f>
        <v>12</v>
      </c>
      <c r="L389" s="5" t="n">
        <f aca="false">E389*F389</f>
        <v>2667.2</v>
      </c>
      <c r="M389" s="5" t="n">
        <f aca="false">IF(E389&gt;=K389,L389*J389,0)</f>
        <v>0</v>
      </c>
      <c r="N389" s="5" t="n">
        <f aca="false">(L389-M389)*I389</f>
        <v>320.064</v>
      </c>
      <c r="O389" s="5" t="n">
        <f aca="false">L389-M389+N389</f>
        <v>2987.264</v>
      </c>
    </row>
    <row r="390" customFormat="false" ht="15" hidden="false" customHeight="false" outlineLevel="0" collapsed="false">
      <c r="A390" s="4" t="s">
        <v>729</v>
      </c>
      <c r="B390" s="9" t="n">
        <v>45683</v>
      </c>
      <c r="C390" s="4" t="s">
        <v>101</v>
      </c>
      <c r="D390" s="4" t="s">
        <v>221</v>
      </c>
      <c r="E390" s="4" t="n">
        <v>2</v>
      </c>
      <c r="F390" s="5" t="n">
        <f aca="false">INDEX(Products!$E:$E,MATCH(C390,Products!$A:$A,0))</f>
        <v>468.78</v>
      </c>
      <c r="G390" s="4" t="str">
        <f aca="false">INDEX(Products!$C:$C,MATCH(C390,Products!$A:$A,0))</f>
        <v>Electronics</v>
      </c>
      <c r="H390" s="4" t="str">
        <f aca="false">INDEX(Customers!$C:$C,MATCH(D390,Customers!$A:$A,0))</f>
        <v>R06</v>
      </c>
      <c r="I390" s="7" t="n">
        <f aca="false">INDEX(Regions!$C:$C,MATCH(H390,Regions!$A:$A,0))</f>
        <v>0.06</v>
      </c>
      <c r="J390" s="7" t="n">
        <f aca="false">INDEX(Regions!$D:$D,MATCH(H390,Regions!$A:$A,0))</f>
        <v>0.04</v>
      </c>
      <c r="K390" s="4" t="n">
        <f aca="false">INDEX(Regions!$E:$E,MATCH(H390,Regions!$A:$A,0))</f>
        <v>12</v>
      </c>
      <c r="L390" s="5" t="n">
        <f aca="false">E390*F390</f>
        <v>937.56</v>
      </c>
      <c r="M390" s="5" t="n">
        <f aca="false">IF(E390&gt;=K390,L390*J390,0)</f>
        <v>0</v>
      </c>
      <c r="N390" s="5" t="n">
        <f aca="false">(L390-M390)*I390</f>
        <v>56.2536</v>
      </c>
      <c r="O390" s="5" t="n">
        <f aca="false">L390-M390+N390</f>
        <v>993.8136</v>
      </c>
    </row>
    <row r="391" customFormat="false" ht="15" hidden="false" customHeight="false" outlineLevel="0" collapsed="false">
      <c r="A391" s="4" t="s">
        <v>730</v>
      </c>
      <c r="B391" s="9" t="n">
        <v>45992</v>
      </c>
      <c r="C391" s="4" t="s">
        <v>66</v>
      </c>
      <c r="D391" s="4" t="s">
        <v>251</v>
      </c>
      <c r="E391" s="4" t="n">
        <v>20</v>
      </c>
      <c r="F391" s="5" t="n">
        <f aca="false">INDEX(Products!$E:$E,MATCH(C391,Products!$A:$A,0))</f>
        <v>55.31</v>
      </c>
      <c r="G391" s="4" t="str">
        <f aca="false">INDEX(Products!$C:$C,MATCH(C391,Products!$A:$A,0))</f>
        <v>Outdoor</v>
      </c>
      <c r="H391" s="4" t="str">
        <f aca="false">INDEX(Customers!$C:$C,MATCH(D391,Customers!$A:$A,0))</f>
        <v>R03</v>
      </c>
      <c r="I391" s="7" t="n">
        <f aca="false">INDEX(Regions!$C:$C,MATCH(H391,Regions!$A:$A,0))</f>
        <v>0.0625</v>
      </c>
      <c r="J391" s="7" t="n">
        <f aca="false">INDEX(Regions!$D:$D,MATCH(H391,Regions!$A:$A,0))</f>
        <v>0.03</v>
      </c>
      <c r="K391" s="4" t="n">
        <f aca="false">INDEX(Regions!$E:$E,MATCH(H391,Regions!$A:$A,0))</f>
        <v>15</v>
      </c>
      <c r="L391" s="5" t="n">
        <f aca="false">E391*F391</f>
        <v>1106.2</v>
      </c>
      <c r="M391" s="5" t="n">
        <f aca="false">IF(E391&gt;=K391,L391*J391,0)</f>
        <v>33.186</v>
      </c>
      <c r="N391" s="5" t="n">
        <f aca="false">(L391-M391)*I391</f>
        <v>67.063375</v>
      </c>
      <c r="O391" s="5" t="n">
        <f aca="false">L391-M391+N391</f>
        <v>1140.077375</v>
      </c>
    </row>
    <row r="392" customFormat="false" ht="15" hidden="false" customHeight="false" outlineLevel="0" collapsed="false">
      <c r="A392" s="4" t="s">
        <v>731</v>
      </c>
      <c r="B392" s="9" t="n">
        <v>45662</v>
      </c>
      <c r="C392" s="4" t="s">
        <v>88</v>
      </c>
      <c r="D392" s="4" t="s">
        <v>205</v>
      </c>
      <c r="E392" s="4" t="n">
        <v>18</v>
      </c>
      <c r="F392" s="5" t="n">
        <f aca="false">INDEX(Products!$E:$E,MATCH(C392,Products!$A:$A,0))</f>
        <v>94.16</v>
      </c>
      <c r="G392" s="4" t="str">
        <f aca="false">INDEX(Products!$C:$C,MATCH(C392,Products!$A:$A,0))</f>
        <v>Office Supplies</v>
      </c>
      <c r="H392" s="4" t="str">
        <f aca="false">INDEX(Customers!$C:$C,MATCH(D392,Customers!$A:$A,0))</f>
        <v>R03</v>
      </c>
      <c r="I392" s="7" t="n">
        <f aca="false">INDEX(Regions!$C:$C,MATCH(H392,Regions!$A:$A,0))</f>
        <v>0.0625</v>
      </c>
      <c r="J392" s="7" t="n">
        <f aca="false">INDEX(Regions!$D:$D,MATCH(H392,Regions!$A:$A,0))</f>
        <v>0.03</v>
      </c>
      <c r="K392" s="4" t="n">
        <f aca="false">INDEX(Regions!$E:$E,MATCH(H392,Regions!$A:$A,0))</f>
        <v>15</v>
      </c>
      <c r="L392" s="5" t="n">
        <f aca="false">E392*F392</f>
        <v>1694.88</v>
      </c>
      <c r="M392" s="5" t="n">
        <f aca="false">IF(E392&gt;=K392,L392*J392,0)</f>
        <v>50.8464</v>
      </c>
      <c r="N392" s="5" t="n">
        <f aca="false">(L392-M392)*I392</f>
        <v>102.7521</v>
      </c>
      <c r="O392" s="5" t="n">
        <f aca="false">L392-M392+N392</f>
        <v>1746.7857</v>
      </c>
    </row>
    <row r="393" customFormat="false" ht="15" hidden="false" customHeight="false" outlineLevel="0" collapsed="false">
      <c r="A393" s="4" t="s">
        <v>732</v>
      </c>
      <c r="B393" s="9" t="n">
        <v>45793</v>
      </c>
      <c r="C393" s="4" t="s">
        <v>42</v>
      </c>
      <c r="D393" s="4" t="s">
        <v>239</v>
      </c>
      <c r="E393" s="4" t="n">
        <v>5</v>
      </c>
      <c r="F393" s="5" t="n">
        <f aca="false">INDEX(Products!$E:$E,MATCH(C393,Products!$A:$A,0))</f>
        <v>156.05</v>
      </c>
      <c r="G393" s="4" t="str">
        <f aca="false">INDEX(Products!$C:$C,MATCH(C393,Products!$A:$A,0))</f>
        <v>Electronics</v>
      </c>
      <c r="H393" s="4" t="str">
        <f aca="false">INDEX(Customers!$C:$C,MATCH(D393,Customers!$A:$A,0))</f>
        <v>R08</v>
      </c>
      <c r="I393" s="7" t="n">
        <f aca="false">INDEX(Regions!$C:$C,MATCH(H393,Regions!$A:$A,0))</f>
        <v>0.12</v>
      </c>
      <c r="J393" s="7" t="n">
        <f aca="false">INDEX(Regions!$D:$D,MATCH(H393,Regions!$A:$A,0))</f>
        <v>0.04</v>
      </c>
      <c r="K393" s="4" t="n">
        <f aca="false">INDEX(Regions!$E:$E,MATCH(H393,Regions!$A:$A,0))</f>
        <v>12</v>
      </c>
      <c r="L393" s="5" t="n">
        <f aca="false">E393*F393</f>
        <v>780.25</v>
      </c>
      <c r="M393" s="5" t="n">
        <f aca="false">IF(E393&gt;=K393,L393*J393,0)</f>
        <v>0</v>
      </c>
      <c r="N393" s="5" t="n">
        <f aca="false">(L393-M393)*I393</f>
        <v>93.63</v>
      </c>
      <c r="O393" s="5" t="n">
        <f aca="false">L393-M393+N393</f>
        <v>873.88</v>
      </c>
    </row>
    <row r="394" customFormat="false" ht="15" hidden="false" customHeight="false" outlineLevel="0" collapsed="false">
      <c r="A394" s="4" t="s">
        <v>733</v>
      </c>
      <c r="B394" s="9" t="n">
        <v>45845</v>
      </c>
      <c r="C394" s="4" t="s">
        <v>75</v>
      </c>
      <c r="D394" s="4" t="s">
        <v>301</v>
      </c>
      <c r="E394" s="4" t="n">
        <v>13</v>
      </c>
      <c r="F394" s="5" t="n">
        <f aca="false">INDEX(Products!$E:$E,MATCH(C394,Products!$A:$A,0))</f>
        <v>502.27</v>
      </c>
      <c r="G394" s="4" t="str">
        <f aca="false">INDEX(Products!$C:$C,MATCH(C394,Products!$A:$A,0))</f>
        <v>Office Supplies</v>
      </c>
      <c r="H394" s="4" t="str">
        <f aca="false">INDEX(Customers!$C:$C,MATCH(D394,Customers!$A:$A,0))</f>
        <v>R08</v>
      </c>
      <c r="I394" s="7" t="n">
        <f aca="false">INDEX(Regions!$C:$C,MATCH(H394,Regions!$A:$A,0))</f>
        <v>0.12</v>
      </c>
      <c r="J394" s="7" t="n">
        <f aca="false">INDEX(Regions!$D:$D,MATCH(H394,Regions!$A:$A,0))</f>
        <v>0.04</v>
      </c>
      <c r="K394" s="4" t="n">
        <f aca="false">INDEX(Regions!$E:$E,MATCH(H394,Regions!$A:$A,0))</f>
        <v>12</v>
      </c>
      <c r="L394" s="5" t="n">
        <f aca="false">E394*F394</f>
        <v>6529.51</v>
      </c>
      <c r="M394" s="5" t="n">
        <f aca="false">IF(E394&gt;=K394,L394*J394,0)</f>
        <v>261.1804</v>
      </c>
      <c r="N394" s="5" t="n">
        <f aca="false">(L394-M394)*I394</f>
        <v>752.199552</v>
      </c>
      <c r="O394" s="5" t="n">
        <f aca="false">L394-M394+N394</f>
        <v>7020.529152</v>
      </c>
    </row>
    <row r="395" customFormat="false" ht="15" hidden="false" customHeight="false" outlineLevel="0" collapsed="false">
      <c r="A395" s="4" t="s">
        <v>734</v>
      </c>
      <c r="B395" s="9" t="n">
        <v>45949</v>
      </c>
      <c r="C395" s="4" t="s">
        <v>32</v>
      </c>
      <c r="D395" s="4" t="s">
        <v>232</v>
      </c>
      <c r="E395" s="4" t="n">
        <v>2</v>
      </c>
      <c r="F395" s="5" t="n">
        <f aca="false">INDEX(Products!$E:$E,MATCH(C395,Products!$A:$A,0))</f>
        <v>112.96</v>
      </c>
      <c r="G395" s="4" t="str">
        <f aca="false">INDEX(Products!$C:$C,MATCH(C395,Products!$A:$A,0))</f>
        <v>Home &amp; Kitchen</v>
      </c>
      <c r="H395" s="4" t="str">
        <f aca="false">INDEX(Customers!$C:$C,MATCH(D395,Customers!$A:$A,0))</f>
        <v>R03</v>
      </c>
      <c r="I395" s="7" t="n">
        <f aca="false">INDEX(Regions!$C:$C,MATCH(H395,Regions!$A:$A,0))</f>
        <v>0.0625</v>
      </c>
      <c r="J395" s="7" t="n">
        <f aca="false">INDEX(Regions!$D:$D,MATCH(H395,Regions!$A:$A,0))</f>
        <v>0.03</v>
      </c>
      <c r="K395" s="4" t="n">
        <f aca="false">INDEX(Regions!$E:$E,MATCH(H395,Regions!$A:$A,0))</f>
        <v>15</v>
      </c>
      <c r="L395" s="5" t="n">
        <f aca="false">E395*F395</f>
        <v>225.92</v>
      </c>
      <c r="M395" s="5" t="n">
        <f aca="false">IF(E395&gt;=K395,L395*J395,0)</f>
        <v>0</v>
      </c>
      <c r="N395" s="5" t="n">
        <f aca="false">(L395-M395)*I395</f>
        <v>14.12</v>
      </c>
      <c r="O395" s="5" t="n">
        <f aca="false">L395-M395+N395</f>
        <v>240.04</v>
      </c>
    </row>
    <row r="396" customFormat="false" ht="15" hidden="false" customHeight="false" outlineLevel="0" collapsed="false">
      <c r="A396" s="4" t="s">
        <v>735</v>
      </c>
      <c r="B396" s="9" t="n">
        <v>45941</v>
      </c>
      <c r="C396" s="4" t="s">
        <v>98</v>
      </c>
      <c r="D396" s="4" t="s">
        <v>182</v>
      </c>
      <c r="E396" s="4" t="n">
        <v>12</v>
      </c>
      <c r="F396" s="5" t="n">
        <f aca="false">INDEX(Products!$E:$E,MATCH(C396,Products!$A:$A,0))</f>
        <v>26.28</v>
      </c>
      <c r="G396" s="4" t="str">
        <f aca="false">INDEX(Products!$C:$C,MATCH(C396,Products!$A:$A,0))</f>
        <v>Home &amp; Kitchen</v>
      </c>
      <c r="H396" s="4" t="str">
        <f aca="false">INDEX(Customers!$C:$C,MATCH(D396,Customers!$A:$A,0))</f>
        <v>R01</v>
      </c>
      <c r="I396" s="7" t="n">
        <f aca="false">INDEX(Regions!$C:$C,MATCH(H396,Regions!$A:$A,0))</f>
        <v>0.0825</v>
      </c>
      <c r="J396" s="7" t="n">
        <f aca="false">INDEX(Regions!$D:$D,MATCH(H396,Regions!$A:$A,0))</f>
        <v>0.05</v>
      </c>
      <c r="K396" s="4" t="n">
        <f aca="false">INDEX(Regions!$E:$E,MATCH(H396,Regions!$A:$A,0))</f>
        <v>10</v>
      </c>
      <c r="L396" s="5" t="n">
        <f aca="false">E396*F396</f>
        <v>315.36</v>
      </c>
      <c r="M396" s="5" t="n">
        <f aca="false">IF(E396&gt;=K396,L396*J396,0)</f>
        <v>15.768</v>
      </c>
      <c r="N396" s="5" t="n">
        <f aca="false">(L396-M396)*I396</f>
        <v>24.71634</v>
      </c>
      <c r="O396" s="5" t="n">
        <f aca="false">L396-M396+N396</f>
        <v>324.30834</v>
      </c>
    </row>
    <row r="397" customFormat="false" ht="15" hidden="false" customHeight="false" outlineLevel="0" collapsed="false">
      <c r="A397" s="4" t="s">
        <v>736</v>
      </c>
      <c r="B397" s="9" t="n">
        <v>45916</v>
      </c>
      <c r="C397" s="4" t="s">
        <v>66</v>
      </c>
      <c r="D397" s="4" t="s">
        <v>153</v>
      </c>
      <c r="E397" s="4" t="n">
        <v>13</v>
      </c>
      <c r="F397" s="5" t="n">
        <f aca="false">INDEX(Products!$E:$E,MATCH(C397,Products!$A:$A,0))</f>
        <v>55.31</v>
      </c>
      <c r="G397" s="4" t="str">
        <f aca="false">INDEX(Products!$C:$C,MATCH(C397,Products!$A:$A,0))</f>
        <v>Outdoor</v>
      </c>
      <c r="H397" s="4" t="str">
        <f aca="false">INDEX(Customers!$C:$C,MATCH(D397,Customers!$A:$A,0))</f>
        <v>R08</v>
      </c>
      <c r="I397" s="7" t="n">
        <f aca="false">INDEX(Regions!$C:$C,MATCH(H397,Regions!$A:$A,0))</f>
        <v>0.12</v>
      </c>
      <c r="J397" s="7" t="n">
        <f aca="false">INDEX(Regions!$D:$D,MATCH(H397,Regions!$A:$A,0))</f>
        <v>0.04</v>
      </c>
      <c r="K397" s="4" t="n">
        <f aca="false">INDEX(Regions!$E:$E,MATCH(H397,Regions!$A:$A,0))</f>
        <v>12</v>
      </c>
      <c r="L397" s="5" t="n">
        <f aca="false">E397*F397</f>
        <v>719.03</v>
      </c>
      <c r="M397" s="5" t="n">
        <f aca="false">IF(E397&gt;=K397,L397*J397,0)</f>
        <v>28.7612</v>
      </c>
      <c r="N397" s="5" t="n">
        <f aca="false">(L397-M397)*I397</f>
        <v>82.832256</v>
      </c>
      <c r="O397" s="5" t="n">
        <f aca="false">L397-M397+N397</f>
        <v>773.101056</v>
      </c>
    </row>
    <row r="398" customFormat="false" ht="15" hidden="false" customHeight="false" outlineLevel="0" collapsed="false">
      <c r="A398" s="4" t="s">
        <v>737</v>
      </c>
      <c r="B398" s="9" t="n">
        <v>45801</v>
      </c>
      <c r="C398" s="4" t="s">
        <v>84</v>
      </c>
      <c r="D398" s="4" t="s">
        <v>301</v>
      </c>
      <c r="E398" s="4" t="n">
        <v>18</v>
      </c>
      <c r="F398" s="5" t="n">
        <f aca="false">INDEX(Products!$E:$E,MATCH(C398,Products!$A:$A,0))</f>
        <v>338.07</v>
      </c>
      <c r="G398" s="4" t="str">
        <f aca="false">INDEX(Products!$C:$C,MATCH(C398,Products!$A:$A,0))</f>
        <v>Office Supplies</v>
      </c>
      <c r="H398" s="4" t="str">
        <f aca="false">INDEX(Customers!$C:$C,MATCH(D398,Customers!$A:$A,0))</f>
        <v>R08</v>
      </c>
      <c r="I398" s="7" t="n">
        <f aca="false">INDEX(Regions!$C:$C,MATCH(H398,Regions!$A:$A,0))</f>
        <v>0.12</v>
      </c>
      <c r="J398" s="7" t="n">
        <f aca="false">INDEX(Regions!$D:$D,MATCH(H398,Regions!$A:$A,0))</f>
        <v>0.04</v>
      </c>
      <c r="K398" s="4" t="n">
        <f aca="false">INDEX(Regions!$E:$E,MATCH(H398,Regions!$A:$A,0))</f>
        <v>12</v>
      </c>
      <c r="L398" s="5" t="n">
        <f aca="false">E398*F398</f>
        <v>6085.26</v>
      </c>
      <c r="M398" s="5" t="n">
        <f aca="false">IF(E398&gt;=K398,L398*J398,0)</f>
        <v>243.4104</v>
      </c>
      <c r="N398" s="5" t="n">
        <f aca="false">(L398-M398)*I398</f>
        <v>701.021952</v>
      </c>
      <c r="O398" s="5" t="n">
        <f aca="false">L398-M398+N398</f>
        <v>6542.871552</v>
      </c>
    </row>
    <row r="399" customFormat="false" ht="15" hidden="false" customHeight="false" outlineLevel="0" collapsed="false">
      <c r="A399" s="4" t="s">
        <v>738</v>
      </c>
      <c r="B399" s="9" t="n">
        <v>45718</v>
      </c>
      <c r="C399" s="4" t="s">
        <v>105</v>
      </c>
      <c r="D399" s="4" t="s">
        <v>287</v>
      </c>
      <c r="E399" s="4" t="n">
        <v>20</v>
      </c>
      <c r="F399" s="5" t="n">
        <f aca="false">INDEX(Products!$E:$E,MATCH(C399,Products!$A:$A,0))</f>
        <v>216.46</v>
      </c>
      <c r="G399" s="4" t="str">
        <f aca="false">INDEX(Products!$C:$C,MATCH(C399,Products!$A:$A,0))</f>
        <v>Apparel</v>
      </c>
      <c r="H399" s="4" t="str">
        <f aca="false">INDEX(Customers!$C:$C,MATCH(D399,Customers!$A:$A,0))</f>
        <v>R01</v>
      </c>
      <c r="I399" s="7" t="n">
        <f aca="false">INDEX(Regions!$C:$C,MATCH(H399,Regions!$A:$A,0))</f>
        <v>0.0825</v>
      </c>
      <c r="J399" s="7" t="n">
        <f aca="false">INDEX(Regions!$D:$D,MATCH(H399,Regions!$A:$A,0))</f>
        <v>0.05</v>
      </c>
      <c r="K399" s="4" t="n">
        <f aca="false">INDEX(Regions!$E:$E,MATCH(H399,Regions!$A:$A,0))</f>
        <v>10</v>
      </c>
      <c r="L399" s="5" t="n">
        <f aca="false">E399*F399</f>
        <v>4329.2</v>
      </c>
      <c r="M399" s="5" t="n">
        <f aca="false">IF(E399&gt;=K399,L399*J399,0)</f>
        <v>216.46</v>
      </c>
      <c r="N399" s="5" t="n">
        <f aca="false">(L399-M399)*I399</f>
        <v>339.30105</v>
      </c>
      <c r="O399" s="5" t="n">
        <f aca="false">L399-M399+N399</f>
        <v>4452.04105</v>
      </c>
    </row>
    <row r="400" customFormat="false" ht="15" hidden="false" customHeight="false" outlineLevel="0" collapsed="false">
      <c r="A400" s="4" t="s">
        <v>739</v>
      </c>
      <c r="B400" s="9" t="n">
        <v>45849</v>
      </c>
      <c r="C400" s="4" t="s">
        <v>46</v>
      </c>
      <c r="D400" s="4" t="s">
        <v>159</v>
      </c>
      <c r="E400" s="4" t="n">
        <v>13</v>
      </c>
      <c r="F400" s="5" t="n">
        <f aca="false">INDEX(Products!$E:$E,MATCH(C400,Products!$A:$A,0))</f>
        <v>37.16</v>
      </c>
      <c r="G400" s="4" t="str">
        <f aca="false">INDEX(Products!$C:$C,MATCH(C400,Products!$A:$A,0))</f>
        <v>Outdoor</v>
      </c>
      <c r="H400" s="4" t="str">
        <f aca="false">INDEX(Customers!$C:$C,MATCH(D400,Customers!$A:$A,0))</f>
        <v>R08</v>
      </c>
      <c r="I400" s="7" t="n">
        <f aca="false">INDEX(Regions!$C:$C,MATCH(H400,Regions!$A:$A,0))</f>
        <v>0.12</v>
      </c>
      <c r="J400" s="7" t="n">
        <f aca="false">INDEX(Regions!$D:$D,MATCH(H400,Regions!$A:$A,0))</f>
        <v>0.04</v>
      </c>
      <c r="K400" s="4" t="n">
        <f aca="false">INDEX(Regions!$E:$E,MATCH(H400,Regions!$A:$A,0))</f>
        <v>12</v>
      </c>
      <c r="L400" s="5" t="n">
        <f aca="false">E400*F400</f>
        <v>483.08</v>
      </c>
      <c r="M400" s="5" t="n">
        <f aca="false">IF(E400&gt;=K400,L400*J400,0)</f>
        <v>19.3232</v>
      </c>
      <c r="N400" s="5" t="n">
        <f aca="false">(L400-M400)*I400</f>
        <v>55.650816</v>
      </c>
      <c r="O400" s="5" t="n">
        <f aca="false">L400-M400+N400</f>
        <v>519.407616</v>
      </c>
    </row>
    <row r="401" customFormat="false" ht="15" hidden="false" customHeight="false" outlineLevel="0" collapsed="false">
      <c r="A401" s="4" t="s">
        <v>740</v>
      </c>
      <c r="B401" s="9" t="n">
        <v>45731</v>
      </c>
      <c r="C401" s="4" t="s">
        <v>71</v>
      </c>
      <c r="D401" s="4" t="s">
        <v>263</v>
      </c>
      <c r="E401" s="4" t="n">
        <v>12</v>
      </c>
      <c r="F401" s="5" t="n">
        <f aca="false">INDEX(Products!$E:$E,MATCH(C401,Products!$A:$A,0))</f>
        <v>59.51</v>
      </c>
      <c r="G401" s="4" t="str">
        <f aca="false">INDEX(Products!$C:$C,MATCH(C401,Products!$A:$A,0))</f>
        <v>Electronics</v>
      </c>
      <c r="H401" s="4" t="str">
        <f aca="false">INDEX(Customers!$C:$C,MATCH(D401,Customers!$A:$A,0))</f>
        <v>R08</v>
      </c>
      <c r="I401" s="7" t="n">
        <f aca="false">INDEX(Regions!$C:$C,MATCH(H401,Regions!$A:$A,0))</f>
        <v>0.12</v>
      </c>
      <c r="J401" s="7" t="n">
        <f aca="false">INDEX(Regions!$D:$D,MATCH(H401,Regions!$A:$A,0))</f>
        <v>0.04</v>
      </c>
      <c r="K401" s="4" t="n">
        <f aca="false">INDEX(Regions!$E:$E,MATCH(H401,Regions!$A:$A,0))</f>
        <v>12</v>
      </c>
      <c r="L401" s="5" t="n">
        <f aca="false">E401*F401</f>
        <v>714.12</v>
      </c>
      <c r="M401" s="5" t="n">
        <f aca="false">IF(E401&gt;=K401,L401*J401,0)</f>
        <v>28.5648</v>
      </c>
      <c r="N401" s="5" t="n">
        <f aca="false">(L401-M401)*I401</f>
        <v>82.266624</v>
      </c>
      <c r="O401" s="5" t="n">
        <f aca="false">L401-M401+N401</f>
        <v>767.821824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741</v>
      </c>
    </row>
    <row r="3" customFormat="false" ht="15" hidden="false" customHeight="false" outlineLevel="0" collapsed="false">
      <c r="A3" s="10" t="s">
        <v>742</v>
      </c>
      <c r="B3" s="11"/>
    </row>
    <row r="4" customFormat="false" ht="15" hidden="false" customHeight="false" outlineLevel="0" collapsed="false">
      <c r="A4" s="4" t="s">
        <v>39</v>
      </c>
      <c r="B4" s="5" t="n">
        <f aca="false">SUMIFS(Sales!$O:$O,Sales!$G:$G,A4)</f>
        <v>281676.8682715</v>
      </c>
    </row>
    <row r="5" customFormat="false" ht="15" hidden="false" customHeight="false" outlineLevel="0" collapsed="false">
      <c r="A5" s="4" t="s">
        <v>34</v>
      </c>
      <c r="B5" s="5" t="n">
        <f aca="false">SUMIFS(Sales!$O:$O,Sales!$G:$G,A5)</f>
        <v>131242.553948</v>
      </c>
    </row>
    <row r="6" customFormat="false" ht="15" hidden="false" customHeight="false" outlineLevel="0" collapsed="false">
      <c r="A6" s="4" t="s">
        <v>28</v>
      </c>
      <c r="B6" s="5" t="n">
        <f aca="false">SUMIFS(Sales!$O:$O,Sales!$G:$G,A6)</f>
        <v>750889.4701885</v>
      </c>
    </row>
    <row r="7" customFormat="false" ht="15" hidden="false" customHeight="false" outlineLevel="0" collapsed="false">
      <c r="A7" s="4" t="s">
        <v>48</v>
      </c>
      <c r="B7" s="5" t="n">
        <f aca="false">SUMIFS(Sales!$O:$O,Sales!$G:$G,A7)</f>
        <v>147316.3819125</v>
      </c>
    </row>
    <row r="8" customFormat="false" ht="15" hidden="false" customHeight="false" outlineLevel="0" collapsed="false">
      <c r="A8" s="4" t="s">
        <v>31</v>
      </c>
      <c r="B8" s="5" t="n">
        <f aca="false">SUMIFS(Sales!$O:$O,Sales!$G:$G,A8)</f>
        <v>168454.7862065</v>
      </c>
    </row>
    <row r="9" customFormat="false" ht="15" hidden="false" customHeight="false" outlineLevel="0" collapsed="false">
      <c r="A9" s="12" t="s">
        <v>340</v>
      </c>
      <c r="B9" s="13" t="n">
        <f aca="false">SUM(B4:B8)</f>
        <v>1479580.060527</v>
      </c>
    </row>
    <row r="11" customFormat="false" ht="15" hidden="false" customHeight="false" outlineLevel="0" collapsed="false">
      <c r="A11" s="10" t="s">
        <v>743</v>
      </c>
      <c r="B11" s="11"/>
    </row>
    <row r="12" customFormat="false" ht="15" hidden="false" customHeight="false" outlineLevel="0" collapsed="false">
      <c r="A12" s="4" t="s">
        <v>112</v>
      </c>
      <c r="B12" s="5" t="n">
        <f aca="false">SUMIFS(Sales!$O:$O,Sales!$H:$H,A12)</f>
        <v>177872.704345</v>
      </c>
    </row>
    <row r="13" customFormat="false" ht="15" hidden="false" customHeight="false" outlineLevel="0" collapsed="false">
      <c r="A13" s="4" t="s">
        <v>114</v>
      </c>
      <c r="B13" s="5" t="n">
        <f aca="false">SUMIFS(Sales!$O:$O,Sales!$H:$H,A13)</f>
        <v>125560.743444</v>
      </c>
    </row>
    <row r="14" customFormat="false" ht="15" hidden="false" customHeight="false" outlineLevel="0" collapsed="false">
      <c r="A14" s="4" t="s">
        <v>116</v>
      </c>
      <c r="B14" s="5" t="n">
        <f aca="false">SUMIFS(Sales!$O:$O,Sales!$H:$H,A14)</f>
        <v>117147.179775</v>
      </c>
    </row>
    <row r="15" customFormat="false" ht="15" hidden="false" customHeight="false" outlineLevel="0" collapsed="false">
      <c r="A15" s="4" t="s">
        <v>118</v>
      </c>
      <c r="B15" s="5" t="n">
        <f aca="false">SUMIFS(Sales!$O:$O,Sales!$H:$H,A15)</f>
        <v>217589.36256</v>
      </c>
    </row>
    <row r="16" customFormat="false" ht="15" hidden="false" customHeight="false" outlineLevel="0" collapsed="false">
      <c r="A16" s="4" t="s">
        <v>120</v>
      </c>
      <c r="B16" s="5" t="n">
        <f aca="false">SUMIFS(Sales!$O:$O,Sales!$H:$H,A16)</f>
        <v>176965.44425</v>
      </c>
    </row>
    <row r="17" customFormat="false" ht="15" hidden="false" customHeight="false" outlineLevel="0" collapsed="false">
      <c r="A17" s="4" t="s">
        <v>122</v>
      </c>
      <c r="B17" s="5" t="n">
        <f aca="false">SUMIFS(Sales!$O:$O,Sales!$H:$H,A17)</f>
        <v>153348.487464</v>
      </c>
    </row>
    <row r="18" customFormat="false" ht="15" hidden="false" customHeight="false" outlineLevel="0" collapsed="false">
      <c r="A18" s="4" t="s">
        <v>124</v>
      </c>
      <c r="B18" s="5" t="n">
        <f aca="false">SUMIFS(Sales!$O:$O,Sales!$H:$H,A18)</f>
        <v>210243.735425</v>
      </c>
    </row>
    <row r="19" customFormat="false" ht="15" hidden="false" customHeight="false" outlineLevel="0" collapsed="false">
      <c r="A19" s="4" t="s">
        <v>126</v>
      </c>
      <c r="B19" s="5" t="n">
        <f aca="false">SUMIFS(Sales!$O:$O,Sales!$H:$H,A19)</f>
        <v>300852.403264</v>
      </c>
    </row>
    <row r="22" customFormat="false" ht="15" hidden="false" customHeight="false" outlineLevel="0" collapsed="false">
      <c r="A22" s="4" t="s">
        <v>744</v>
      </c>
      <c r="B22" s="6" t="n">
        <f aca="false">AVERAGE(ProductMargins)</f>
        <v>0.395941669069896</v>
      </c>
    </row>
    <row r="23" customFormat="false" ht="15" hidden="false" customHeight="false" outlineLevel="0" collapsed="false">
      <c r="A23" s="4" t="s">
        <v>745</v>
      </c>
      <c r="B23" s="7" t="n">
        <f aca="false">AVERAGE(TaxRateTable)</f>
        <v>0.0896875</v>
      </c>
    </row>
    <row r="25" customFormat="false" ht="15" hidden="false" customHeight="false" outlineLevel="0" collapsed="false">
      <c r="A25" s="14" t="s">
        <v>746</v>
      </c>
    </row>
    <row r="26" customFormat="false" ht="15" hidden="false" customHeight="false" outlineLevel="0" collapsed="false">
      <c r="A26" s="4" t="s">
        <v>747</v>
      </c>
      <c r="B26" s="4" t="s">
        <v>8</v>
      </c>
    </row>
    <row r="27" customFormat="false" ht="15" hidden="false" customHeight="false" outlineLevel="0" collapsed="false">
      <c r="A27" s="4" t="s">
        <v>748</v>
      </c>
      <c r="B27" s="4" t="n">
        <f aca="true">COUNTA(INDIRECT("'"&amp;B26&amp;"'!A:A"))-1</f>
        <v>8</v>
      </c>
    </row>
  </sheetData>
  <dataValidations count="1">
    <dataValidation allowBlank="false" errorStyle="stop" operator="between" showDropDown="false" showErrorMessage="false" showInputMessage="false" sqref="B26" type="list">
      <formula1>"Products,Regions,Customers,Sales"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2026-09-19T15:40:09Z</dcterms:created>
  <dc:creator>openpyxl</dc:creator>
  <dc:description/>
  <dc:language>en-US</dc:language>
  <cp:lastModifiedBy/>
  <dcterms:modified xsi:type="dcterms:W3CDTF">2026-09-19T15:40:09Z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